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e11e7ee20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83d3a01ccb4450a"/>
    <x:sheet xmlns:r="http://schemas.openxmlformats.org/officeDocument/2006/relationships" name="01_SOURCES" sheetId="2" r:id="Rd424bd061755443f"/>
    <x:sheet xmlns:r="http://schemas.openxmlformats.org/officeDocument/2006/relationships" name="02_PARAMETRES" sheetId="3" r:id="Ree1fd3f0974f48e2"/>
    <x:sheet xmlns:r="http://schemas.openxmlformats.org/officeDocument/2006/relationships" name="03_BASE_REGLEMENTAIRE" sheetId="4" r:id="R7839d9ac12764f81"/>
    <x:sheet xmlns:r="http://schemas.openxmlformats.org/officeDocument/2006/relationships" name="04_CONTROLES_TOTAUX" sheetId="5" r:id="R06f65310c64c468e"/>
    <x:sheet xmlns:r="http://schemas.openxmlformats.org/officeDocument/2006/relationships" name="05_ANOMALIES_SOURCES" sheetId="6" r:id="Rf38bda011eac494a"/>
    <x:sheet xmlns:r="http://schemas.openxmlformats.org/officeDocument/2006/relationships" name="06_ECARTS_DOCUMENTS" sheetId="7" r:id="R7b3a9f7124194af8"/>
    <x:sheet xmlns:r="http://schemas.openxmlformats.org/officeDocument/2006/relationships" name="07_FORMATION_COMPLEMENTAIRE" sheetId="8" r:id="R04f903bcbf1e4bf1"/>
    <x:sheet xmlns:r="http://schemas.openxmlformats.org/officeDocument/2006/relationships" name="08_TEXTES_JURIDIQUES" sheetId="9" r:id="R95157b1b42e14378"/>
    <x:sheet xmlns:r="http://schemas.openxmlformats.org/officeDocument/2006/relationships" name="09_PARAMETRES_CHARGE" sheetId="10" r:id="R1d523c7d731744b7"/>
    <x:sheet xmlns:r="http://schemas.openxmlformats.org/officeDocument/2006/relationships" name="10_AFFECTATION_MODELE" sheetId="11" r:id="Reff6cf6434a2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#"/>
    <x:numFmt numFmtId="201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2"/>
      <x:name val="Carlito"/>
    </x:font>
    <x:font>
      <x:sz val="9"/>
      <x:name val="Carlito"/>
    </x:font>
    <x:font>
      <x:b/>
      <x:sz val="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9"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054a374634867" /><Relationship Type="http://schemas.openxmlformats.org/officeDocument/2006/relationships/theme" Target="/xl/theme/theme1.xml" Id="R274cd1b86d0e44e2" /><Relationship Type="http://schemas.openxmlformats.org/officeDocument/2006/relationships/sharedStrings" Target="/xl/sharedStrings.xml" Id="R63149920430a4804" /><Relationship Type="http://schemas.openxmlformats.org/officeDocument/2006/relationships/worksheet" Target="/xl/worksheets/sheet1.xml" Id="Rb83d3a01ccb4450a" /><Relationship Type="http://schemas.openxmlformats.org/officeDocument/2006/relationships/worksheet" Target="/xl/worksheets/sheet2.xml" Id="Rd424bd061755443f" /><Relationship Type="http://schemas.openxmlformats.org/officeDocument/2006/relationships/worksheet" Target="/xl/worksheets/sheet3.xml" Id="Ree1fd3f0974f48e2" /><Relationship Type="http://schemas.openxmlformats.org/officeDocument/2006/relationships/worksheet" Target="/xl/worksheets/sheet4.xml" Id="R7839d9ac12764f81" /><Relationship Type="http://schemas.openxmlformats.org/officeDocument/2006/relationships/worksheet" Target="/xl/worksheets/sheet5.xml" Id="R06f65310c64c468e" /><Relationship Type="http://schemas.openxmlformats.org/officeDocument/2006/relationships/worksheet" Target="/xl/worksheets/sheet6.xml" Id="Rf38bda011eac494a" /><Relationship Type="http://schemas.openxmlformats.org/officeDocument/2006/relationships/worksheet" Target="/xl/worksheets/sheet7.xml" Id="R7b3a9f7124194af8" /><Relationship Type="http://schemas.openxmlformats.org/officeDocument/2006/relationships/worksheet" Target="/xl/worksheets/sheet8.xml" Id="R04f903bcbf1e4bf1" /><Relationship Type="http://schemas.openxmlformats.org/officeDocument/2006/relationships/worksheet" Target="/xl/worksheets/sheet9.xml" Id="R95157b1b42e14378" /><Relationship Type="http://schemas.openxmlformats.org/officeDocument/2006/relationships/worksheet" Target="/xl/worksheets/sheet10.xml" Id="R1d523c7d731744b7" /><Relationship Type="http://schemas.openxmlformats.org/officeDocument/2006/relationships/worksheet" Target="/xl/worksheets/sheet11.xml" Id="Reff6cf6434a248fd" /></Relationships>
</file>

<file path=xl/tables/table1.xml><?xml version="1.0" encoding="utf-8"?>
<x:table xmlns:x="http://schemas.openxmlformats.org/spreadsheetml/2006/main" id="1" name="BaseReglementaireTable" displayName="BaseReglementaireTable" ref="A1:X157" headerRowCount="1" totalsRowCount="0" totalsRowShown="0">
  <x:tableColumns count="24">
    <x:tableColumn id="1" name="ID"/>
    <x:tableColumn id="2" name="Cycle"/>
    <x:tableColumn id="3" name="Bloc formation"/>
    <x:tableColumn id="4" name="Année cycle"/>
    <x:tableColumn id="5" name="Spécialité / Tronc commun"/>
    <x:tableColumn id="6" name="Semestre / Bloc"/>
    <x:tableColumn id="7" name="Type UE"/>
    <x:tableColumn id="8" name="Code UE"/>
    <x:tableColumn id="9" name="Matière / Activité"/>
    <x:tableColumn id="10" name="VHS / Volume activité (h)"/>
    <x:tableColumn id="11" name="Cours (h)"/>
    <x:tableColumn id="12" name="TD (h)"/>
    <x:tableColumn id="13" name="TP (h)"/>
    <x:tableColumn id="14" name="Travail personnel / individuel (h)"/>
    <x:tableColumn id="15" name="Coeff"/>
    <x:tableColumn id="16" name="Crédits"/>
    <x:tableColumn id="17" name="Nature pédagogique"/>
    <x:tableColumn id="18" name="Source arrêté"/>
    <x:tableColumn id="19" name="Date source"/>
    <x:tableColumn id="20" name="Page source"/>
    <x:tableColumn id="21" name="Statut extraction"/>
    <x:tableColumn id="22" name="Somme C+TD+TP"/>
    <x:tableColumn id="23" name="Écart vs VHS"/>
    <x:tableColumn id="24" name="Observation / contrô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xtesJuridiquesTable" displayName="TextesJuridiquesTable" ref="A1:L22" headerRowCount="1" totalsRowCount="0" totalsRowShown="0">
  <x:tableColumns count="12">
    <x:tableColumn id="1" name="N°"/>
    <x:tableColumn id="2" name="Nature / Référence"/>
    <x:tableColumn id="3" name="Date"/>
    <x:tableColumn id="4" name="Objet / portée"/>
    <x:tableColumn id="5" name="Article(s) / point utile"/>
    <x:tableColumn id="6" name="Règle retenue dans le classeur"/>
    <x:tableColumn id="7" name="Portée juridique dans le calcul"/>
    <x:tableColumn id="8" name="Statut / priorité"/>
    <x:tableColumn id="9" name="Source officielle / institutionnelle"/>
    <x:tableColumn id="10" name="URL source"/>
    <x:tableColumn id="11" name="À joindre au dossier d'inspection ?"/>
    <x:tableColumn id="12" name="Observation de sécurité juridiq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9bcde1db82246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ebcf748a50c944a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34" customHeight="1">
      <x:c r="A1" s="5" t="str">
        <x:v>BASE RÉGLEMENTAIRE – AFFECTATION PÉDAGOGIQUE ENSF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Objet</x:v>
      </x:c>
      <x:c r="B3" s="16" t="str">
        <x:v>Base de référence des matières et volumes horaires destinée au futur classeur d’affectation pédagogique.</x:v>
      </x:c>
    </x:row>
    <x:row r="4">
      <x:c r="A4" s="12" t="str">
        <x:v>Source prioritaire</x:v>
      </x:c>
      <x:c r="B4" s="16" t="str">
        <x:v>Arrêtés officiels signés fournis par la direction.</x:v>
      </x:c>
    </x:row>
    <x:row r="5">
      <x:c r="A5" s="12" t="str">
        <x:v>Cycle 1</x:v>
      </x:c>
      <x:c r="B5" s="16" t="str">
        <x:v>Formation de base : arrêté n°1455 du 30/10/2025, S1 à S4.</x:v>
      </x:c>
    </x:row>
    <x:row r="6">
      <x:c r="A6" s="12" t="str">
        <x:v>Cycle 2 – 1re année</x:v>
      </x:c>
      <x:c r="B6" s="16" t="str">
        <x:v>Tronc commun « Sciences forestières » : arrêté n°1457 du 04/12/2024, S1-S2.</x:v>
      </x:c>
    </x:row>
    <x:row r="7">
      <x:c r="A7" s="12" t="str">
        <x:v>Cycle 2 – spécialités</x:v>
      </x:c>
      <x:c r="B7" s="16" t="str">
        <x:v>Gestion des forêts (1459), Géomatique appliquée à la foresterie (1458), Santé des forêts (1460), S3-S6.</x:v>
      </x:c>
    </x:row>
    <x:row r="8">
      <x:c r="A8" s="12" t="str">
        <x:v>Formation complémentaire</x:v>
      </x:c>
      <x:c r="B8" s="16" t="str">
        <x:v>Arrêté n°1454 du 30/10/2025 ; bloc séparé du Cycle 2.</x:v>
      </x:c>
    </x:row>
    <x:row r="9">
      <x:c r="A9" s="12" t="str">
        <x:v>Sorties pédagogiques</x:v>
      </x:c>
      <x:c r="B9" s="16" t="str">
        <x:v>Règle communiquée par la direction : 1 sortie = 8 h de TP ; à ajouter séparément, car non mentionnée dans les arrêtés.</x:v>
      </x:c>
    </x:row>
    <x:row r="10">
      <x:c r="A10" s="12" t="str">
        <x:v>Sous-groupes</x:v>
      </x:c>
      <x:c r="B10" s="16" t="str">
        <x:v>Aucun sous-groupe pédagogique actuellement, tous niveaux confondus.</x:v>
      </x:c>
    </x:row>
    <x:row r="11">
      <x:c r="A11" s="12" t="str">
        <x:v>S6</x:v>
      </x:c>
      <x:c r="B11" s="16" t="str">
        <x:v>Activités de PFE conservées séparément ; leur conversion en charge enseignant sera définie ultérieurement.</x:v>
      </x:c>
    </x:row>
    <x:row r="12">
      <x:c r="A12" s="12" t="str">
        <x:v>Règle de sécurité</x:v>
      </x:c>
      <x:c r="B12" s="16" t="str">
        <x:v>Les incohérences trouvées dans les sources ne sont jamais corrigées silencieusement : elles sont signalées dans les feuilles de contrôle.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58" hidden="0" customWidth="1"/>
  </x:cols>
  <x:sheetData>
    <x:row r="1" ht="34" customHeight="1">
      <x:c r="A1" s="19" t="str">
        <x:v>Source</x:v>
      </x:c>
      <x:c r="B1" s="19" t="str">
        <x:v>Date</x:v>
      </x:c>
      <x:c r="C1" s="19" t="str">
        <x:v>Portée</x:v>
      </x:c>
      <x:c r="D1" s="19" t="str">
        <x:v>Pages utiles</x:v>
      </x:c>
      <x:c r="E1" s="19" t="str">
        <x:v>Statut</x:v>
      </x:c>
      <x:c r="F1" s="19" t="str">
        <x:v>Remarque</x:v>
      </x:c>
    </x:row>
    <x:row r="2">
      <x:c r="A2" s="16" t="str">
        <x:v>Arrêté n°1455</x:v>
      </x:c>
      <x:c r="B2" s="16" t="str">
        <x:v>30/10/2025</x:v>
      </x:c>
      <x:c r="C2" s="16" t="str">
        <x:v>Cycle 1 – formation de base, S1 à S4</x:v>
      </x:c>
      <x:c r="D2" s="16" t="str">
        <x:v>2 à 5</x:v>
      </x:c>
      <x:c r="E2" s="16" t="str">
        <x:v>Prioritaire</x:v>
      </x:c>
      <x:c r="F2" s="16" t="str">
        <x:v>Les volumes du fichier anglais divergent de l’arrêté sur plusieurs semestres.</x:v>
      </x:c>
    </x:row>
    <x:row r="3">
      <x:c r="A3" s="16" t="str">
        <x:v>Arrêté n°1457</x:v>
      </x:c>
      <x:c r="B3" s="16" t="str">
        <x:v>04/12/2024</x:v>
      </x:c>
      <x:c r="C3" s="16" t="str">
        <x:v>Cycle 2 – 1re année, Sciences forestières</x:v>
      </x:c>
      <x:c r="D3" s="16" t="str">
        <x:v>5 à 6</x:v>
      </x:c>
      <x:c r="E3" s="16" t="str">
        <x:v>Prioritaire</x:v>
      </x:c>
      <x:c r="F3" s="16" t="str">
        <x:v>Tronc commun S1-S2.</x:v>
      </x:c>
    </x:row>
    <x:row r="4">
      <x:c r="A4" s="16" t="str">
        <x:v>Arrêté n°1458</x:v>
      </x:c>
      <x:c r="B4" s="16" t="str">
        <x:v>04/12/2024</x:v>
      </x:c>
      <x:c r="C4" s="16" t="str">
        <x:v>Cycle 2 – Géomatique appliquée à la foresterie</x:v>
      </x:c>
      <x:c r="D4" s="16" t="str">
        <x:v>7 à 10</x:v>
      </x:c>
      <x:c r="E4" s="16" t="str">
        <x:v>Prioritaire</x:v>
      </x:c>
      <x:c r="F4" s="16" t="str">
        <x:v>S3-S6.</x:v>
      </x:c>
    </x:row>
    <x:row r="5">
      <x:c r="A5" s="16" t="str">
        <x:v>Arrêté n°1459</x:v>
      </x:c>
      <x:c r="B5" s="16" t="str">
        <x:v>04/12/2024</x:v>
      </x:c>
      <x:c r="C5" s="16" t="str">
        <x:v>Cycle 2 – Gestion des forêts</x:v>
      </x:c>
      <x:c r="D5" s="16" t="str">
        <x:v>7 à 10</x:v>
      </x:c>
      <x:c r="E5" s="16" t="str">
        <x:v>Prioritaire</x:v>
      </x:c>
      <x:c r="F5" s="16" t="str">
        <x:v>S3-S6.</x:v>
      </x:c>
    </x:row>
    <x:row r="6">
      <x:c r="A6" s="16" t="str">
        <x:v>Arrêté n°1460</x:v>
      </x:c>
      <x:c r="B6" s="16" t="str">
        <x:v>04/12/2024</x:v>
      </x:c>
      <x:c r="C6" s="16" t="str">
        <x:v>Cycle 2 – Santé des forêts</x:v>
      </x:c>
      <x:c r="D6" s="16" t="str">
        <x:v>7 à 10</x:v>
      </x:c>
      <x:c r="E6" s="16" t="str">
        <x:v>Prioritaire</x:v>
      </x:c>
      <x:c r="F6" s="16" t="str">
        <x:v>S3-S6.</x:v>
      </x:c>
    </x:row>
    <x:row r="7">
      <x:c r="A7" s="16" t="str">
        <x:v>Arrêté n°1454</x:v>
      </x:c>
      <x:c r="B7" s="16" t="str">
        <x:v>30/10/2025</x:v>
      </x:c>
      <x:c r="C7" s="16" t="str">
        <x:v>Formation complémentaire en vue du diplôme de Master</x:v>
      </x:c>
      <x:c r="D7" s="16" t="str">
        <x:v>5 à 6</x:v>
      </x:c>
      <x:c r="E7" s="16" t="str">
        <x:v>Prioritaire</x:v>
      </x:c>
      <x:c r="F7" s="16" t="str">
        <x:v>Bloc complémentaire du Cycle 2.</x:v>
      </x:c>
    </x:row>
    <x:row r="8">
      <x:c r="A8" s="16" t="str">
        <x:v>Cycle préparatoire ENSF 2025_2026 ANG.pdf</x:v>
      </x:c>
      <x:c r="B8" s="16" t="str">
        <x:v>—</x:v>
      </x:c>
      <x:c r="C8" s="16" t="str">
        <x:v>Version anglaise du Cycle 1</x:v>
      </x:c>
      <x:c r="D8" s="16" t="str">
        <x:v>1 à 4</x:v>
      </x:c>
      <x:c r="E8" s="16" t="str">
        <x:v>Document d’appui</x:v>
      </x:c>
      <x:c r="F8" s="16" t="str">
        <x:v>Non retenu pour les volumes lorsqu’il diverge de l’arrêté n°1455.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68" hidden="0" customWidth="1"/>
  </x:cols>
  <x:sheetData>
    <x:row r="1" ht="34" customHeight="1">
      <x:c r="A1" s="19" t="str">
        <x:v>Paramètre</x:v>
      </x:c>
      <x:c r="B1" s="19" t="str">
        <x:v>Valeur</x:v>
      </x:c>
      <x:c r="C1" s="19" t="str">
        <x:v>Type</x:v>
      </x:c>
      <x:c r="D1" s="19" t="str">
        <x:v>Observation</x:v>
      </x:c>
    </x:row>
    <x:row r="2">
      <x:c r="A2" s="16" t="str">
        <x:v>Cycle 1 – durée</x:v>
      </x:c>
      <x:c r="B2" s="16" t="str">
        <x:v>2 années</x:v>
      </x:c>
      <x:c r="C2" s="16" t="str">
        <x:v>Réglementaire</x:v>
      </x:c>
      <x:c r="D2" s="16" t="str">
        <x:v>S1-S4</x:v>
      </x:c>
    </x:row>
    <x:row r="3">
      <x:c r="A3" s="16" t="str">
        <x:v>Cycle 2 – 1re année</x:v>
      </x:c>
      <x:c r="B3" s="16" t="str">
        <x:v>Sciences forestières</x:v>
      </x:c>
      <x:c r="C3" s="16" t="str">
        <x:v>Organisation validée</x:v>
      </x:c>
      <x:c r="D3" s="16" t="str">
        <x:v>Tronc commun</x:v>
      </x:c>
    </x:row>
    <x:row r="4">
      <x:c r="A4" s="16" t="str">
        <x:v>Cycle 2 – 2e et 3e années</x:v>
      </x:c>
      <x:c r="B4" s="16" t="str">
        <x:v>3 spécialités</x:v>
      </x:c>
      <x:c r="C4" s="16" t="str">
        <x:v>Organisation validée</x:v>
      </x:c>
      <x:c r="D4" s="16" t="str">
        <x:v>Gestion des forêts ; Géomatique appliquée à la foresterie ; Santé des forêts</x:v>
      </x:c>
    </x:row>
    <x:row r="5">
      <x:c r="A5" s="16" t="str">
        <x:v>Sous-groupes pédagogiques</x:v>
      </x:c>
      <x:c r="B5" s="16" t="str">
        <x:v>0</x:v>
      </x:c>
      <x:c r="C5" s="16" t="str">
        <x:v>Organisation actuelle</x:v>
      </x:c>
      <x:c r="D5" s="16" t="str">
        <x:v>Aucun sous-groupe dans tous les niveaux</x:v>
      </x:c>
    </x:row>
    <x:row r="6">
      <x:c r="A6" s="16" t="str">
        <x:v>Durée d’une sortie pédagogique</x:v>
      </x:c>
      <x:c r="B6" s="16" t="str">
        <x:v>8 h TP</x:v>
      </x:c>
      <x:c r="C6" s="16" t="str">
        <x:v>Règle organisationnelle</x:v>
      </x:c>
      <x:c r="D6" s="16" t="str">
        <x:v>À ajouter séparément aux TP réglementaires.</x:v>
      </x:c>
    </x:row>
    <x:row r="7">
      <x:c r="A7" s="16" t="str">
        <x:v>Formation complémentaire</x:v>
      </x:c>
      <x:c r="B7" s="16" t="str">
        <x:v>Incluse au Cycle 2</x:v>
      </x:c>
      <x:c r="C7" s="16" t="str">
        <x:v>Réglementaire</x:v>
      </x:c>
      <x:c r="D7" s="16" t="str">
        <x:v>Arrêté n°1454 du 30/10/2025</x:v>
      </x:c>
    </x:row>
    <x:row r="8">
      <x:c r="A8" s="16" t="str">
        <x:v>Volumes Cours/TD/TP</x:v>
      </x:c>
      <x:c r="B8" s="16" t="str">
        <x:v>Verrouillés selon arrêtés</x:v>
      </x:c>
      <x:c r="C8" s="16" t="str">
        <x:v>Réglementaire</x:v>
      </x:c>
      <x:c r="D8" s="16" t="str">
        <x:v>Les chefs de département ne devront pas les ressaisir.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3" hidden="0" customWidth="1"/>
    <x:col min="5" max="5" width="42" hidden="0" customWidth="1"/>
    <x:col min="6" max="6" width="18" hidden="0" customWidth="1"/>
    <x:col min="7" max="7" width="23" hidden="0" customWidth="1"/>
    <x:col min="8" max="8" width="13" hidden="0" customWidth="1"/>
    <x:col min="9" max="9" width="50" hidden="0" customWidth="1"/>
    <x:col min="10" max="10" width="17" hidden="0" customWidth="1"/>
    <x:col min="11" max="11" width="11" hidden="0" customWidth="1"/>
    <x:col min="12" max="12" width="11" hidden="0" customWidth="1"/>
    <x:col min="13" max="13" width="11" hidden="0" customWidth="1"/>
    <x:col min="14" max="14" width="18" hidden="0" customWidth="1"/>
    <x:col min="15" max="15" width="9" hidden="0" customWidth="1"/>
    <x:col min="16" max="16" width="9" hidden="0" customWidth="1"/>
    <x:col min="17" max="17" width="22" hidden="0" customWidth="1"/>
    <x:col min="18" max="18" width="27" hidden="0" customWidth="1"/>
    <x:col min="19" max="19" width="13" hidden="0" customWidth="1"/>
    <x:col min="20" max="20" width="10" hidden="0" customWidth="1"/>
    <x:col min="21" max="21" width="18" hidden="0" customWidth="1"/>
    <x:col min="22" max="22" width="14" hidden="0" customWidth="1"/>
    <x:col min="23" max="23" width="14" hidden="0" customWidth="1"/>
    <x:col min="24" max="24" width="60" hidden="0" customWidth="1"/>
  </x:cols>
  <x:sheetData>
    <x:row r="1" ht="34" customHeight="1">
      <x:c r="A1" s="23" t="str">
        <x:v>ID</x:v>
      </x:c>
      <x:c r="B1" s="23" t="str">
        <x:v>Cycle</x:v>
      </x:c>
      <x:c r="C1" s="23" t="str">
        <x:v>Bloc formation</x:v>
      </x:c>
      <x:c r="D1" s="23" t="str">
        <x:v>Année cycle</x:v>
      </x:c>
      <x:c r="E1" s="23" t="str">
        <x:v>Spécialité / Tronc commun</x:v>
      </x:c>
      <x:c r="F1" s="23" t="str">
        <x:v>Semestre / Bloc</x:v>
      </x:c>
      <x:c r="G1" s="23" t="str">
        <x:v>Type UE</x:v>
      </x:c>
      <x:c r="H1" s="23" t="str">
        <x:v>Code UE</x:v>
      </x:c>
      <x:c r="I1" s="23" t="str">
        <x:v>Matière / Activité</x:v>
      </x:c>
      <x:c r="J1" s="23" t="str">
        <x:v>VHS / Volume activité (h)</x:v>
      </x:c>
      <x:c r="K1" s="23" t="str">
        <x:v>Cours (h)</x:v>
      </x:c>
      <x:c r="L1" s="23" t="str">
        <x:v>TD (h)</x:v>
      </x:c>
      <x:c r="M1" s="23" t="str">
        <x:v>TP (h)</x:v>
      </x:c>
      <x:c r="N1" s="23" t="str">
        <x:v>Travail personnel / individuel (h)</x:v>
      </x:c>
      <x:c r="O1" s="23" t="str">
        <x:v>Coeff</x:v>
      </x:c>
      <x:c r="P1" s="23" t="str">
        <x:v>Crédits</x:v>
      </x:c>
      <x:c r="Q1" s="23" t="str">
        <x:v>Nature pédagogique</x:v>
      </x:c>
      <x:c r="R1" s="23" t="str">
        <x:v>Source arrêté</x:v>
      </x:c>
      <x:c r="S1" s="23" t="str">
        <x:v>Date source</x:v>
      </x:c>
      <x:c r="T1" s="23" t="str">
        <x:v>Page source</x:v>
      </x:c>
      <x:c r="U1" s="23" t="str">
        <x:v>Statut extraction</x:v>
      </x:c>
      <x:c r="V1" s="23" t="str">
        <x:v>Somme C+TD+TP</x:v>
      </x:c>
      <x:c r="W1" s="23" t="str">
        <x:v>Écart vs VHS</x:v>
      </x:c>
      <x:c r="X1" s="23" t="str">
        <x:v>Observation / contrôle</x:v>
      </x:c>
    </x:row>
    <x:row r="2">
      <x:c r="A2" s="28" t="str">
        <x:v>REG-001</x:v>
      </x:c>
      <x:c r="B2" s="28" t="str">
        <x:v>Cycle 1</x:v>
      </x:c>
      <x:c r="C2" s="28" t="str">
        <x:v>Formation de base</x:v>
      </x:c>
      <x:c r="D2" s="28" t="str">
        <x:v>1re année</x:v>
      </x:c>
      <x:c r="E2" s="28" t="str">
        <x:v>Formation de base</x:v>
      </x:c>
      <x:c r="F2" s="28" t="str">
        <x:v>S1</x:v>
      </x:c>
      <x:c r="G2" s="28" t="str">
        <x:v>UE fondamentale</x:v>
      </x:c>
      <x:c r="H2" s="28" t="str"/>
      <x:c r="I2" s="28" t="str">
        <x:v>Biologie cellulaire</x:v>
      </x:c>
      <x:c r="J2" s="29" t="n">
        <x:v>60</x:v>
      </x:c>
      <x:c r="K2" s="29" t="n">
        <x:v>48</x:v>
      </x:c>
      <x:c r="L2" s="29" t="n">
        <x:v>0</x:v>
      </x:c>
      <x:c r="M2" s="29" t="n">
        <x:v>12</x:v>
      </x:c>
      <x:c r="N2" s="29" t="n">
        <x:v>60</x:v>
      </x:c>
      <x:c r="O2" s="29" t="n">
        <x:v>3</x:v>
      </x:c>
      <x:c r="P2" s="29" t="n">
        <x:v>6</x:v>
      </x:c>
      <x:c r="Q2" s="29" t="str">
        <x:v>Enseignement</x:v>
      </x:c>
      <x:c r="R2" s="29" t="str">
        <x:v>Arrêté n°1455 du 30/10/2025</x:v>
      </x:c>
      <x:c r="S2" s="29" t="str">
        <x:v>30/10/2025</x:v>
      </x:c>
      <x:c r="T2" s="29" t="n">
        <x:v>2</x:v>
      </x:c>
      <x:c r="U2" s="29" t="str">
        <x:v>Vérifié sur arrêté</x:v>
      </x:c>
      <x:c r="V2" s="29" t="n">
        <x:f>IF(COUNTA(K2:M2)=0,"",SUM(K2:M2))</x:f>
        <x:v>60</x:v>
      </x:c>
      <x:c r="W2" s="29" t="n">
        <x:f>IF(V2="","",V2-J2)</x:f>
        <x:v>0</x:v>
      </x:c>
      <x:c r="X2" s="28" t="str"/>
    </x:row>
    <x:row r="3">
      <x:c r="A3" s="28" t="str">
        <x:v>REG-002</x:v>
      </x:c>
      <x:c r="B3" s="28" t="str">
        <x:v>Cycle 1</x:v>
      </x:c>
      <x:c r="C3" s="28" t="str">
        <x:v>Formation de base</x:v>
      </x:c>
      <x:c r="D3" s="28" t="str">
        <x:v>1re année</x:v>
      </x:c>
      <x:c r="E3" s="28" t="str">
        <x:v>Formation de base</x:v>
      </x:c>
      <x:c r="F3" s="28" t="str">
        <x:v>S1</x:v>
      </x:c>
      <x:c r="G3" s="28" t="str">
        <x:v>UE fondamentale</x:v>
      </x:c>
      <x:c r="H3" s="28" t="str"/>
      <x:c r="I3" s="28" t="str">
        <x:v>Biologie végétale 1</x:v>
      </x:c>
      <x:c r="J3" s="29" t="n">
        <x:v>60</x:v>
      </x:c>
      <x:c r="K3" s="29" t="n">
        <x:v>48</x:v>
      </x:c>
      <x:c r="L3" s="29" t="n">
        <x:v>0</x:v>
      </x:c>
      <x:c r="M3" s="29" t="n">
        <x:v>12</x:v>
      </x:c>
      <x:c r="N3" s="29" t="n">
        <x:v>60</x:v>
      </x:c>
      <x:c r="O3" s="29" t="n">
        <x:v>3</x:v>
      </x:c>
      <x:c r="P3" s="29" t="n">
        <x:v>6</x:v>
      </x:c>
      <x:c r="Q3" s="29" t="str">
        <x:v>Enseignement</x:v>
      </x:c>
      <x:c r="R3" s="29" t="str">
        <x:v>Arrêté n°1455 du 30/10/2025</x:v>
      </x:c>
      <x:c r="S3" s="29" t="str">
        <x:v>30/10/2025</x:v>
      </x:c>
      <x:c r="T3" s="29" t="n">
        <x:v>2</x:v>
      </x:c>
      <x:c r="U3" s="29" t="str">
        <x:v>Vérifié sur arrêté</x:v>
      </x:c>
      <x:c r="V3" s="29" t="n">
        <x:f>IF(COUNTA(K3:M3)=0,"",SUM(K3:M3))</x:f>
        <x:v>60</x:v>
      </x:c>
      <x:c r="W3" s="29" t="n">
        <x:f>IF(V3="","",V3-J3)</x:f>
        <x:v>0</x:v>
      </x:c>
      <x:c r="X3" s="28" t="str"/>
    </x:row>
    <x:row r="4">
      <x:c r="A4" s="28" t="str">
        <x:v>REG-003</x:v>
      </x:c>
      <x:c r="B4" s="28" t="str">
        <x:v>Cycle 1</x:v>
      </x:c>
      <x:c r="C4" s="28" t="str">
        <x:v>Formation de base</x:v>
      </x:c>
      <x:c r="D4" s="28" t="str">
        <x:v>1re année</x:v>
      </x:c>
      <x:c r="E4" s="28" t="str">
        <x:v>Formation de base</x:v>
      </x:c>
      <x:c r="F4" s="28" t="str">
        <x:v>S1</x:v>
      </x:c>
      <x:c r="G4" s="28" t="str">
        <x:v>UE fondamentale</x:v>
      </x:c>
      <x:c r="H4" s="28" t="str"/>
      <x:c r="I4" s="28" t="str">
        <x:v>Biologie animale 1 (Histologie)</x:v>
      </x:c>
      <x:c r="J4" s="29" t="n">
        <x:v>45</x:v>
      </x:c>
      <x:c r="K4" s="29" t="n">
        <x:v>30</x:v>
      </x:c>
      <x:c r="L4" s="29" t="n">
        <x:v>0</x:v>
      </x:c>
      <x:c r="M4" s="29" t="n">
        <x:v>15</x:v>
      </x:c>
      <x:c r="N4" s="29" t="n">
        <x:v>45</x:v>
      </x:c>
      <x:c r="O4" s="29" t="n">
        <x:v>2</x:v>
      </x:c>
      <x:c r="P4" s="29" t="n">
        <x:v>6</x:v>
      </x:c>
      <x:c r="Q4" s="29" t="str">
        <x:v>Enseignement</x:v>
      </x:c>
      <x:c r="R4" s="29" t="str">
        <x:v>Arrêté n°1455 du 30/10/2025</x:v>
      </x:c>
      <x:c r="S4" s="29" t="str">
        <x:v>30/10/2025</x:v>
      </x:c>
      <x:c r="T4" s="29" t="n">
        <x:v>2</x:v>
      </x:c>
      <x:c r="U4" s="29" t="str">
        <x:v>Vérifié sur arrêté</x:v>
      </x:c>
      <x:c r="V4" s="29" t="n">
        <x:f>IF(COUNTA(K4:M4)=0,"",SUM(K4:M4))</x:f>
        <x:v>45</x:v>
      </x:c>
      <x:c r="W4" s="29" t="n">
        <x:f>IF(V4="","",V4-J4)</x:f>
        <x:v>0</x:v>
      </x:c>
      <x:c r="X4" s="28" t="str"/>
    </x:row>
    <x:row r="5">
      <x:c r="A5" s="28" t="str">
        <x:v>REG-004</x:v>
      </x:c>
      <x:c r="B5" s="28" t="str">
        <x:v>Cycle 1</x:v>
      </x:c>
      <x:c r="C5" s="28" t="str">
        <x:v>Formation de base</x:v>
      </x:c>
      <x:c r="D5" s="28" t="str">
        <x:v>1re année</x:v>
      </x:c>
      <x:c r="E5" s="28" t="str">
        <x:v>Formation de base</x:v>
      </x:c>
      <x:c r="F5" s="28" t="str">
        <x:v>S1</x:v>
      </x:c>
      <x:c r="G5" s="28" t="str">
        <x:v>UE méthodologique</x:v>
      </x:c>
      <x:c r="H5" s="28" t="str">
        <x:v>UM1</x:v>
      </x:c>
      <x:c r="I5" s="28" t="str">
        <x:v>Chimie 1</x:v>
      </x:c>
      <x:c r="J5" s="29" t="n">
        <x:v>51</x:v>
      </x:c>
      <x:c r="K5" s="29" t="n">
        <x:v>30</x:v>
      </x:c>
      <x:c r="L5" s="29" t="n">
        <x:v>12</x:v>
      </x:c>
      <x:c r="M5" s="29" t="n">
        <x:v>9</x:v>
      </x:c>
      <x:c r="N5" s="29" t="n">
        <x:v>51</x:v>
      </x:c>
      <x:c r="O5" s="29" t="n">
        <x:v>2</x:v>
      </x:c>
      <x:c r="P5" s="29" t="n">
        <x:v>3</x:v>
      </x:c>
      <x:c r="Q5" s="29" t="str">
        <x:v>Enseignement</x:v>
      </x:c>
      <x:c r="R5" s="29" t="str">
        <x:v>Arrêté n°1455 du 30/10/2025</x:v>
      </x:c>
      <x:c r="S5" s="29" t="str">
        <x:v>30/10/2025</x:v>
      </x:c>
      <x:c r="T5" s="29" t="n">
        <x:v>2</x:v>
      </x:c>
      <x:c r="U5" s="29" t="str">
        <x:v>Vérifié sur arrêté</x:v>
      </x:c>
      <x:c r="V5" s="29" t="n">
        <x:f>IF(COUNTA(K5:M5)=0,"",SUM(K5:M5))</x:f>
        <x:v>51</x:v>
      </x:c>
      <x:c r="W5" s="29" t="n">
        <x:f>IF(V5="","",V5-J5)</x:f>
        <x:v>0</x:v>
      </x:c>
      <x:c r="X5" s="28" t="str"/>
    </x:row>
    <x:row r="6">
      <x:c r="A6" s="28" t="str">
        <x:v>REG-005</x:v>
      </x:c>
      <x:c r="B6" s="28" t="str">
        <x:v>Cycle 1</x:v>
      </x:c>
      <x:c r="C6" s="28" t="str">
        <x:v>Formation de base</x:v>
      </x:c>
      <x:c r="D6" s="28" t="str">
        <x:v>1re année</x:v>
      </x:c>
      <x:c r="E6" s="28" t="str">
        <x:v>Formation de base</x:v>
      </x:c>
      <x:c r="F6" s="28" t="str">
        <x:v>S1</x:v>
      </x:c>
      <x:c r="G6" s="28" t="str">
        <x:v>UE méthodologique</x:v>
      </x:c>
      <x:c r="H6" s="28" t="str">
        <x:v>UM1</x:v>
      </x:c>
      <x:c r="I6" s="28" t="str">
        <x:v>Physique 1</x:v>
      </x:c>
      <x:c r="J6" s="29" t="n">
        <x:v>31.5</x:v>
      </x:c>
      <x:c r="K6" s="29" t="n">
        <x:v>22.5</x:v>
      </x:c>
      <x:c r="L6" s="29" t="n">
        <x:v>0</x:v>
      </x:c>
      <x:c r="M6" s="29" t="n">
        <x:v>9</x:v>
      </x:c>
      <x:c r="N6" s="29" t="n">
        <x:v>31.5</x:v>
      </x:c>
      <x:c r="O6" s="29" t="n">
        <x:v>1</x:v>
      </x:c>
      <x:c r="P6" s="29" t="n">
        <x:v>2</x:v>
      </x:c>
      <x:c r="Q6" s="29" t="str">
        <x:v>Enseignement</x:v>
      </x:c>
      <x:c r="R6" s="29" t="str">
        <x:v>Arrêté n°1455 du 30/10/2025</x:v>
      </x:c>
      <x:c r="S6" s="29" t="str">
        <x:v>30/10/2025</x:v>
      </x:c>
      <x:c r="T6" s="29" t="n">
        <x:v>2</x:v>
      </x:c>
      <x:c r="U6" s="29" t="str">
        <x:v>Vérifié sur arrêté</x:v>
      </x:c>
      <x:c r="V6" s="29" t="n">
        <x:f>IF(COUNTA(K6:M6)=0,"",SUM(K6:M6))</x:f>
        <x:v>31.5</x:v>
      </x:c>
      <x:c r="W6" s="29" t="n">
        <x:f>IF(V6="","",V6-J6)</x:f>
        <x:v>0</x:v>
      </x:c>
      <x:c r="X6" s="28" t="str"/>
    </x:row>
    <x:row r="7">
      <x:c r="A7" s="28" t="str">
        <x:v>REG-006</x:v>
      </x:c>
      <x:c r="B7" s="28" t="str">
        <x:v>Cycle 1</x:v>
      </x:c>
      <x:c r="C7" s="28" t="str">
        <x:v>Formation de base</x:v>
      </x:c>
      <x:c r="D7" s="28" t="str">
        <x:v>1re année</x:v>
      </x:c>
      <x:c r="E7" s="28" t="str">
        <x:v>Formation de base</x:v>
      </x:c>
      <x:c r="F7" s="28" t="str">
        <x:v>S1</x:v>
      </x:c>
      <x:c r="G7" s="28" t="str">
        <x:v>UE méthodologique</x:v>
      </x:c>
      <x:c r="H7" s="28" t="str">
        <x:v>UM2</x:v>
      </x:c>
      <x:c r="I7" s="28" t="str">
        <x:v>Mathématiques 1</x:v>
      </x:c>
      <x:c r="J7" s="29" t="n">
        <x:v>45</x:v>
      </x:c>
      <x:c r="K7" s="29" t="n">
        <x:v>22.5</x:v>
      </x:c>
      <x:c r="L7" s="29" t="n">
        <x:v>22.5</x:v>
      </x:c>
      <x:c r="M7" s="29" t="n">
        <x:v>0</x:v>
      </x:c>
      <x:c r="N7" s="29" t="n">
        <x:v>45</x:v>
      </x:c>
      <x:c r="O7" s="29" t="n">
        <x:v>2</x:v>
      </x:c>
      <x:c r="P7" s="29" t="n">
        <x:v>2</x:v>
      </x:c>
      <x:c r="Q7" s="29" t="str">
        <x:v>Enseignement</x:v>
      </x:c>
      <x:c r="R7" s="29" t="str">
        <x:v>Arrêté n°1455 du 30/10/2025</x:v>
      </x:c>
      <x:c r="S7" s="29" t="str">
        <x:v>30/10/2025</x:v>
      </x:c>
      <x:c r="T7" s="29" t="n">
        <x:v>2</x:v>
      </x:c>
      <x:c r="U7" s="29" t="str">
        <x:v>Vérifié sur arrêté</x:v>
      </x:c>
      <x:c r="V7" s="29" t="n">
        <x:f>IF(COUNTA(K7:M7)=0,"",SUM(K7:M7))</x:f>
        <x:v>45</x:v>
      </x:c>
      <x:c r="W7" s="29" t="n">
        <x:f>IF(V7="","",V7-J7)</x:f>
        <x:v>0</x:v>
      </x:c>
      <x:c r="X7" s="28" t="str"/>
    </x:row>
    <x:row r="8">
      <x:c r="A8" s="28" t="str">
        <x:v>REG-007</x:v>
      </x:c>
      <x:c r="B8" s="28" t="str">
        <x:v>Cycle 1</x:v>
      </x:c>
      <x:c r="C8" s="28" t="str">
        <x:v>Formation de base</x:v>
      </x:c>
      <x:c r="D8" s="28" t="str">
        <x:v>1re année</x:v>
      </x:c>
      <x:c r="E8" s="28" t="str">
        <x:v>Formation de base</x:v>
      </x:c>
      <x:c r="F8" s="28" t="str">
        <x:v>S1</x:v>
      </x:c>
      <x:c r="G8" s="28" t="str">
        <x:v>UE méthodologique</x:v>
      </x:c>
      <x:c r="H8" s="28" t="str">
        <x:v>UM2</x:v>
      </x:c>
      <x:c r="I8" s="28" t="str">
        <x:v>Informatique 1</x:v>
      </x:c>
      <x:c r="J8" s="29" t="n">
        <x:v>45</x:v>
      </x:c>
      <x:c r="K8" s="29" t="n">
        <x:v>22.5</x:v>
      </x:c>
      <x:c r="L8" s="29" t="n">
        <x:v>0</x:v>
      </x:c>
      <x:c r="M8" s="29" t="n">
        <x:v>22.5</x:v>
      </x:c>
      <x:c r="N8" s="29" t="n">
        <x:v>45</x:v>
      </x:c>
      <x:c r="O8" s="29" t="n">
        <x:v>2</x:v>
      </x:c>
      <x:c r="P8" s="29" t="n">
        <x:v>2</x:v>
      </x:c>
      <x:c r="Q8" s="29" t="str">
        <x:v>Enseignement</x:v>
      </x:c>
      <x:c r="R8" s="29" t="str">
        <x:v>Arrêté n°1455 du 30/10/2025</x:v>
      </x:c>
      <x:c r="S8" s="29" t="str">
        <x:v>30/10/2025</x:v>
      </x:c>
      <x:c r="T8" s="29" t="n">
        <x:v>2</x:v>
      </x:c>
      <x:c r="U8" s="29" t="str">
        <x:v>Vérifié sur arrêté</x:v>
      </x:c>
      <x:c r="V8" s="29" t="n">
        <x:f>IF(COUNTA(K8:M8)=0,"",SUM(K8:M8))</x:f>
        <x:v>45</x:v>
      </x:c>
      <x:c r="W8" s="29" t="n">
        <x:f>IF(V8="","",V8-J8)</x:f>
        <x:v>0</x:v>
      </x:c>
      <x:c r="X8" s="28" t="str"/>
    </x:row>
    <x:row r="9">
      <x:c r="A9" s="28" t="str">
        <x:v>REG-008</x:v>
      </x:c>
      <x:c r="B9" s="28" t="str">
        <x:v>Cycle 1</x:v>
      </x:c>
      <x:c r="C9" s="28" t="str">
        <x:v>Formation de base</x:v>
      </x:c>
      <x:c r="D9" s="28" t="str">
        <x:v>1re année</x:v>
      </x:c>
      <x:c r="E9" s="28" t="str">
        <x:v>Formation de base</x:v>
      </x:c>
      <x:c r="F9" s="28" t="str">
        <x:v>S1</x:v>
      </x:c>
      <x:c r="G9" s="28" t="str">
        <x:v>UE découverte</x:v>
      </x:c>
      <x:c r="H9" s="28" t="str"/>
      <x:c r="I9" s="28" t="str">
        <x:v>Travail personnel d’initiative encadré</x:v>
      </x:c>
      <x:c r="J9" s="29" t="n">
        <x:v>15</x:v>
      </x:c>
      <x:c r="K9" s="29" t="n">
        <x:v>15</x:v>
      </x:c>
      <x:c r="L9" s="29" t="n">
        <x:v>0</x:v>
      </x:c>
      <x:c r="M9" s="29" t="n">
        <x:v>0</x:v>
      </x:c>
      <x:c r="N9" s="29" t="n">
        <x:v>15</x:v>
      </x:c>
      <x:c r="O9" s="29" t="n">
        <x:v>1</x:v>
      </x:c>
      <x:c r="P9" s="29" t="n">
        <x:v>1</x:v>
      </x:c>
      <x:c r="Q9" s="29" t="str">
        <x:v>Enseignement</x:v>
      </x:c>
      <x:c r="R9" s="29" t="str">
        <x:v>Arrêté n°1455 du 30/10/2025</x:v>
      </x:c>
      <x:c r="S9" s="29" t="str">
        <x:v>30/10/2025</x:v>
      </x:c>
      <x:c r="T9" s="29" t="n">
        <x:v>2</x:v>
      </x:c>
      <x:c r="U9" s="29" t="str">
        <x:v>Vérifié sur arrêté</x:v>
      </x:c>
      <x:c r="V9" s="29" t="n">
        <x:f>IF(COUNTA(K9:M9)=0,"",SUM(K9:M9))</x:f>
        <x:v>15</x:v>
      </x:c>
      <x:c r="W9" s="29" t="n">
        <x:f>IF(V9="","",V9-J9)</x:f>
        <x:v>0</x:v>
      </x:c>
      <x:c r="X9" s="28" t="str"/>
    </x:row>
    <x:row r="10">
      <x:c r="A10" s="28" t="str">
        <x:v>REG-009</x:v>
      </x:c>
      <x:c r="B10" s="28" t="str">
        <x:v>Cycle 1</x:v>
      </x:c>
      <x:c r="C10" s="28" t="str">
        <x:v>Formation de base</x:v>
      </x:c>
      <x:c r="D10" s="28" t="str">
        <x:v>1re année</x:v>
      </x:c>
      <x:c r="E10" s="28" t="str">
        <x:v>Formation de base</x:v>
      </x:c>
      <x:c r="F10" s="28" t="str">
        <x:v>S1</x:v>
      </x:c>
      <x:c r="G10" s="28" t="str">
        <x:v>UE transversale</x:v>
      </x:c>
      <x:c r="H10" s="28" t="str"/>
      <x:c r="I10" s="28" t="str">
        <x:v>Techniques d’expression et de communication 1</x:v>
      </x:c>
      <x:c r="J10" s="29" t="n">
        <x:v>22.5</x:v>
      </x:c>
      <x:c r="K10" s="29" t="n">
        <x:v>22.5</x:v>
      </x:c>
      <x:c r="L10" s="29" t="n">
        <x:v>0</x:v>
      </x:c>
      <x:c r="M10" s="29" t="n">
        <x:v>0</x:v>
      </x:c>
      <x:c r="N10" s="29" t="n">
        <x:v>22.5</x:v>
      </x:c>
      <x:c r="O10" s="29" t="n">
        <x:v>1</x:v>
      </x:c>
      <x:c r="P10" s="29" t="n">
        <x:v>2</x:v>
      </x:c>
      <x:c r="Q10" s="29" t="str">
        <x:v>Enseignement</x:v>
      </x:c>
      <x:c r="R10" s="29" t="str">
        <x:v>Arrêté n°1455 du 30/10/2025</x:v>
      </x:c>
      <x:c r="S10" s="29" t="str">
        <x:v>30/10/2025</x:v>
      </x:c>
      <x:c r="T10" s="29" t="n">
        <x:v>2</x:v>
      </x:c>
      <x:c r="U10" s="29" t="str">
        <x:v>Vérifié sur arrêté</x:v>
      </x:c>
      <x:c r="V10" s="29" t="n">
        <x:f>IF(COUNTA(K10:M10)=0,"",SUM(K10:M10))</x:f>
        <x:v>22.5</x:v>
      </x:c>
      <x:c r="W10" s="29" t="n">
        <x:f>IF(V10="","",V10-J10)</x:f>
        <x:v>0</x:v>
      </x:c>
      <x:c r="X10" s="28" t="str"/>
    </x:row>
    <x:row r="11">
      <x:c r="A11" s="28" t="str">
        <x:v>REG-010</x:v>
      </x:c>
      <x:c r="B11" s="28" t="str">
        <x:v>Cycle 1</x:v>
      </x:c>
      <x:c r="C11" s="28" t="str">
        <x:v>Formation de base</x:v>
      </x:c>
      <x:c r="D11" s="28" t="str">
        <x:v>1re année</x:v>
      </x:c>
      <x:c r="E11" s="28" t="str">
        <x:v>Formation de base</x:v>
      </x:c>
      <x:c r="F11" s="28" t="str">
        <x:v>S2</x:v>
      </x:c>
      <x:c r="G11" s="28" t="str">
        <x:v>UE fondamentale</x:v>
      </x:c>
      <x:c r="H11" s="28" t="str"/>
      <x:c r="I11" s="28" t="str">
        <x:v>Biologie végétale 2</x:v>
      </x:c>
      <x:c r="J11" s="29" t="n">
        <x:v>78</x:v>
      </x:c>
      <x:c r="K11" s="29" t="n">
        <x:v>66</x:v>
      </x:c>
      <x:c r="L11" s="29" t="n">
        <x:v>0</x:v>
      </x:c>
      <x:c r="M11" s="29" t="n">
        <x:v>12</x:v>
      </x:c>
      <x:c r="N11" s="29" t="n">
        <x:v>78</x:v>
      </x:c>
      <x:c r="O11" s="29" t="n">
        <x:v>4</x:v>
      </x:c>
      <x:c r="P11" s="29" t="n">
        <x:v>9</x:v>
      </x:c>
      <x:c r="Q11" s="29" t="str">
        <x:v>Enseignement</x:v>
      </x:c>
      <x:c r="R11" s="29" t="str">
        <x:v>Arrêté n°1455 du 30/10/2025</x:v>
      </x:c>
      <x:c r="S11" s="29" t="str">
        <x:v>30/10/2025</x:v>
      </x:c>
      <x:c r="T11" s="29" t="n">
        <x:v>3</x:v>
      </x:c>
      <x:c r="U11" s="29" t="str">
        <x:v>Vérifié sur arrêté</x:v>
      </x:c>
      <x:c r="V11" s="29" t="n">
        <x:f>IF(COUNTA(K11:M11)=0,"",SUM(K11:M11))</x:f>
        <x:v>78</x:v>
      </x:c>
      <x:c r="W11" s="29" t="n">
        <x:f>IF(V11="","",V11-J11)</x:f>
        <x:v>0</x:v>
      </x:c>
      <x:c r="X11" s="28" t="str"/>
    </x:row>
    <x:row r="12">
      <x:c r="A12" s="28" t="str">
        <x:v>REG-011</x:v>
      </x:c>
      <x:c r="B12" s="28" t="str">
        <x:v>Cycle 1</x:v>
      </x:c>
      <x:c r="C12" s="28" t="str">
        <x:v>Formation de base</x:v>
      </x:c>
      <x:c r="D12" s="28" t="str">
        <x:v>1re année</x:v>
      </x:c>
      <x:c r="E12" s="28" t="str">
        <x:v>Formation de base</x:v>
      </x:c>
      <x:c r="F12" s="28" t="str">
        <x:v>S2</x:v>
      </x:c>
      <x:c r="G12" s="28" t="str">
        <x:v>UE fondamentale</x:v>
      </x:c>
      <x:c r="H12" s="28" t="str"/>
      <x:c r="I12" s="28" t="str">
        <x:v>Biologie animale 2 (Embryologie)</x:v>
      </x:c>
      <x:c r="J12" s="29" t="n">
        <x:v>60</x:v>
      </x:c>
      <x:c r="K12" s="29" t="n">
        <x:v>30</x:v>
      </x:c>
      <x:c r="L12" s="29" t="n">
        <x:v>15</x:v>
      </x:c>
      <x:c r="M12" s="29" t="n">
        <x:v>15</x:v>
      </x:c>
      <x:c r="N12" s="29" t="n">
        <x:v>60</x:v>
      </x:c>
      <x:c r="O12" s="29" t="n">
        <x:v>4</x:v>
      </x:c>
      <x:c r="P12" s="29" t="n">
        <x:v>9</x:v>
      </x:c>
      <x:c r="Q12" s="29" t="str">
        <x:v>Enseignement</x:v>
      </x:c>
      <x:c r="R12" s="29" t="str">
        <x:v>Arrêté n°1455 du 30/10/2025</x:v>
      </x:c>
      <x:c r="S12" s="29" t="str">
        <x:v>30/10/2025</x:v>
      </x:c>
      <x:c r="T12" s="29" t="n">
        <x:v>3</x:v>
      </x:c>
      <x:c r="U12" s="29" t="str">
        <x:v>Vérifié sur arrêté</x:v>
      </x:c>
      <x:c r="V12" s="29" t="n">
        <x:f>IF(COUNTA(K12:M12)=0,"",SUM(K12:M12))</x:f>
        <x:v>60</x:v>
      </x:c>
      <x:c r="W12" s="29" t="n">
        <x:f>IF(V12="","",V12-J12)</x:f>
        <x:v>0</x:v>
      </x:c>
      <x:c r="X12" s="28" t="str"/>
    </x:row>
    <x:row r="13">
      <x:c r="A13" s="28" t="str">
        <x:v>REG-012</x:v>
      </x:c>
      <x:c r="B13" s="28" t="str">
        <x:v>Cycle 1</x:v>
      </x:c>
      <x:c r="C13" s="28" t="str">
        <x:v>Formation de base</x:v>
      </x:c>
      <x:c r="D13" s="28" t="str">
        <x:v>1re année</x:v>
      </x:c>
      <x:c r="E13" s="28" t="str">
        <x:v>Formation de base</x:v>
      </x:c>
      <x:c r="F13" s="28" t="str">
        <x:v>S2</x:v>
      </x:c>
      <x:c r="G13" s="28" t="str">
        <x:v>UE méthodologique</x:v>
      </x:c>
      <x:c r="H13" s="28" t="str">
        <x:v>UM1</x:v>
      </x:c>
      <x:c r="I13" s="28" t="str">
        <x:v>Chimie 2</x:v>
      </x:c>
      <x:c r="J13" s="29" t="n">
        <x:v>55.5</x:v>
      </x:c>
      <x:c r="K13" s="29" t="n">
        <x:v>34.5</x:v>
      </x:c>
      <x:c r="L13" s="29" t="n">
        <x:v>12</x:v>
      </x:c>
      <x:c r="M13" s="29" t="n">
        <x:v>9</x:v>
      </x:c>
      <x:c r="N13" s="29" t="n">
        <x:v>55.5</x:v>
      </x:c>
      <x:c r="O13" s="29" t="n">
        <x:v>2</x:v>
      </x:c>
      <x:c r="P13" s="29" t="n">
        <x:v>3</x:v>
      </x:c>
      <x:c r="Q13" s="29" t="str">
        <x:v>Enseignement</x:v>
      </x:c>
      <x:c r="R13" s="29" t="str">
        <x:v>Arrêté n°1455 du 30/10/2025</x:v>
      </x:c>
      <x:c r="S13" s="29" t="str">
        <x:v>30/10/2025</x:v>
      </x:c>
      <x:c r="T13" s="29" t="n">
        <x:v>3</x:v>
      </x:c>
      <x:c r="U13" s="29" t="str">
        <x:v>Vérifié sur arrêté</x:v>
      </x:c>
      <x:c r="V13" s="29" t="n">
        <x:f>IF(COUNTA(K13:M13)=0,"",SUM(K13:M13))</x:f>
        <x:v>55.5</x:v>
      </x:c>
      <x:c r="W13" s="29" t="n">
        <x:f>IF(V13="","",V13-J13)</x:f>
        <x:v>0</x:v>
      </x:c>
      <x:c r="X13" s="28" t="str"/>
    </x:row>
    <x:row r="14">
      <x:c r="A14" s="28" t="str">
        <x:v>REG-013</x:v>
      </x:c>
      <x:c r="B14" s="28" t="str">
        <x:v>Cycle 1</x:v>
      </x:c>
      <x:c r="C14" s="28" t="str">
        <x:v>Formation de base</x:v>
      </x:c>
      <x:c r="D14" s="28" t="str">
        <x:v>1re année</x:v>
      </x:c>
      <x:c r="E14" s="28" t="str">
        <x:v>Formation de base</x:v>
      </x:c>
      <x:c r="F14" s="28" t="str">
        <x:v>S2</x:v>
      </x:c>
      <x:c r="G14" s="28" t="str">
        <x:v>UE méthodologique</x:v>
      </x:c>
      <x:c r="H14" s="28" t="str">
        <x:v>UM1</x:v>
      </x:c>
      <x:c r="I14" s="28" t="str">
        <x:v>Physique 2</x:v>
      </x:c>
      <x:c r="J14" s="29" t="n">
        <x:v>31.5</x:v>
      </x:c>
      <x:c r="K14" s="29" t="n">
        <x:v>22.5</x:v>
      </x:c>
      <x:c r="L14" s="29" t="n">
        <x:v>0</x:v>
      </x:c>
      <x:c r="M14" s="29" t="n">
        <x:v>9</x:v>
      </x:c>
      <x:c r="N14" s="29" t="n">
        <x:v>31.5</x:v>
      </x:c>
      <x:c r="O14" s="29" t="n">
        <x:v>1</x:v>
      </x:c>
      <x:c r="P14" s="29" t="n">
        <x:v>2</x:v>
      </x:c>
      <x:c r="Q14" s="29" t="str">
        <x:v>Enseignement</x:v>
      </x:c>
      <x:c r="R14" s="29" t="str">
        <x:v>Arrêté n°1455 du 30/10/2025</x:v>
      </x:c>
      <x:c r="S14" s="29" t="str">
        <x:v>30/10/2025</x:v>
      </x:c>
      <x:c r="T14" s="29" t="n">
        <x:v>3</x:v>
      </x:c>
      <x:c r="U14" s="29" t="str">
        <x:v>Vérifié sur arrêté</x:v>
      </x:c>
      <x:c r="V14" s="29" t="n">
        <x:f>IF(COUNTA(K14:M14)=0,"",SUM(K14:M14))</x:f>
        <x:v>31.5</x:v>
      </x:c>
      <x:c r="W14" s="29" t="n">
        <x:f>IF(V14="","",V14-J14)</x:f>
        <x:v>0</x:v>
      </x:c>
      <x:c r="X14" s="28" t="str"/>
    </x:row>
    <x:row r="15">
      <x:c r="A15" s="28" t="str">
        <x:v>REG-014</x:v>
      </x:c>
      <x:c r="B15" s="28" t="str">
        <x:v>Cycle 1</x:v>
      </x:c>
      <x:c r="C15" s="28" t="str">
        <x:v>Formation de base</x:v>
      </x:c>
      <x:c r="D15" s="28" t="str">
        <x:v>1re année</x:v>
      </x:c>
      <x:c r="E15" s="28" t="str">
        <x:v>Formation de base</x:v>
      </x:c>
      <x:c r="F15" s="28" t="str">
        <x:v>S2</x:v>
      </x:c>
      <x:c r="G15" s="28" t="str">
        <x:v>UE méthodologique</x:v>
      </x:c>
      <x:c r="H15" s="28" t="str">
        <x:v>UM2</x:v>
      </x:c>
      <x:c r="I15" s="28" t="str">
        <x:v>Mathématiques 2</x:v>
      </x:c>
      <x:c r="J15" s="29" t="n">
        <x:v>45</x:v>
      </x:c>
      <x:c r="K15" s="29" t="n">
        <x:v>22.5</x:v>
      </x:c>
      <x:c r="L15" s="29" t="n">
        <x:v>22.5</x:v>
      </x:c>
      <x:c r="M15" s="29" t="n">
        <x:v>0</x:v>
      </x:c>
      <x:c r="N15" s="29" t="n">
        <x:v>45</x:v>
      </x:c>
      <x:c r="O15" s="29" t="n">
        <x:v>2</x:v>
      </x:c>
      <x:c r="P15" s="29" t="n">
        <x:v>2</x:v>
      </x:c>
      <x:c r="Q15" s="29" t="str">
        <x:v>Enseignement</x:v>
      </x:c>
      <x:c r="R15" s="29" t="str">
        <x:v>Arrêté n°1455 du 30/10/2025</x:v>
      </x:c>
      <x:c r="S15" s="29" t="str">
        <x:v>30/10/2025</x:v>
      </x:c>
      <x:c r="T15" s="29" t="n">
        <x:v>3</x:v>
      </x:c>
      <x:c r="U15" s="29" t="str">
        <x:v>Vérifié sur arrêté</x:v>
      </x:c>
      <x:c r="V15" s="29" t="n">
        <x:f>IF(COUNTA(K15:M15)=0,"",SUM(K15:M15))</x:f>
        <x:v>45</x:v>
      </x:c>
      <x:c r="W15" s="29" t="n">
        <x:f>IF(V15="","",V15-J15)</x:f>
        <x:v>0</x:v>
      </x:c>
      <x:c r="X15" s="28" t="str"/>
    </x:row>
    <x:row r="16">
      <x:c r="A16" s="28" t="str">
        <x:v>REG-015</x:v>
      </x:c>
      <x:c r="B16" s="28" t="str">
        <x:v>Cycle 1</x:v>
      </x:c>
      <x:c r="C16" s="28" t="str">
        <x:v>Formation de base</x:v>
      </x:c>
      <x:c r="D16" s="28" t="str">
        <x:v>1re année</x:v>
      </x:c>
      <x:c r="E16" s="28" t="str">
        <x:v>Formation de base</x:v>
      </x:c>
      <x:c r="F16" s="28" t="str">
        <x:v>S2</x:v>
      </x:c>
      <x:c r="G16" s="28" t="str">
        <x:v>UE méthodologique</x:v>
      </x:c>
      <x:c r="H16" s="28" t="str">
        <x:v>UM2</x:v>
      </x:c>
      <x:c r="I16" s="28" t="str">
        <x:v>Informatique 2</x:v>
      </x:c>
      <x:c r="J16" s="29" t="n">
        <x:v>45</x:v>
      </x:c>
      <x:c r="K16" s="29" t="n">
        <x:v>22.5</x:v>
      </x:c>
      <x:c r="L16" s="29" t="n">
        <x:v>0</x:v>
      </x:c>
      <x:c r="M16" s="29" t="n">
        <x:v>22.5</x:v>
      </x:c>
      <x:c r="N16" s="29" t="n">
        <x:v>45</x:v>
      </x:c>
      <x:c r="O16" s="29" t="n">
        <x:v>2</x:v>
      </x:c>
      <x:c r="P16" s="29" t="n">
        <x:v>2</x:v>
      </x:c>
      <x:c r="Q16" s="29" t="str">
        <x:v>Enseignement</x:v>
      </x:c>
      <x:c r="R16" s="29" t="str">
        <x:v>Arrêté n°1455 du 30/10/2025</x:v>
      </x:c>
      <x:c r="S16" s="29" t="str">
        <x:v>30/10/2025</x:v>
      </x:c>
      <x:c r="T16" s="29" t="n">
        <x:v>3</x:v>
      </x:c>
      <x:c r="U16" s="29" t="str">
        <x:v>Vérifié sur arrêté</x:v>
      </x:c>
      <x:c r="V16" s="29" t="n">
        <x:f>IF(COUNTA(K16:M16)=0,"",SUM(K16:M16))</x:f>
        <x:v>45</x:v>
      </x:c>
      <x:c r="W16" s="29" t="n">
        <x:f>IF(V16="","",V16-J16)</x:f>
        <x:v>0</x:v>
      </x:c>
      <x:c r="X16" s="28" t="str"/>
    </x:row>
    <x:row r="17">
      <x:c r="A17" s="28" t="str">
        <x:v>REG-016</x:v>
      </x:c>
      <x:c r="B17" s="28" t="str">
        <x:v>Cycle 1</x:v>
      </x:c>
      <x:c r="C17" s="28" t="str">
        <x:v>Formation de base</x:v>
      </x:c>
      <x:c r="D17" s="28" t="str">
        <x:v>1re année</x:v>
      </x:c>
      <x:c r="E17" s="28" t="str">
        <x:v>Formation de base</x:v>
      </x:c>
      <x:c r="F17" s="28" t="str">
        <x:v>S2</x:v>
      </x:c>
      <x:c r="G17" s="28" t="str">
        <x:v>UE découverte</x:v>
      </x:c>
      <x:c r="H17" s="28" t="str"/>
      <x:c r="I17" s="28" t="str">
        <x:v>Géologie</x:v>
      </x:c>
      <x:c r="J17" s="29" t="n">
        <x:v>37.5</x:v>
      </x:c>
      <x:c r="K17" s="29" t="n">
        <x:v>22.5</x:v>
      </x:c>
      <x:c r="L17" s="29" t="n">
        <x:v>0</x:v>
      </x:c>
      <x:c r="M17" s="29" t="n">
        <x:v>15</x:v>
      </x:c>
      <x:c r="N17" s="29" t="n">
        <x:v>37.5</x:v>
      </x:c>
      <x:c r="O17" s="29" t="n">
        <x:v>1</x:v>
      </x:c>
      <x:c r="P17" s="29" t="n">
        <x:v>2</x:v>
      </x:c>
      <x:c r="Q17" s="29" t="str">
        <x:v>Enseignement</x:v>
      </x:c>
      <x:c r="R17" s="29" t="str">
        <x:v>Arrêté n°1455 du 30/10/2025</x:v>
      </x:c>
      <x:c r="S17" s="29" t="str">
        <x:v>30/10/2025</x:v>
      </x:c>
      <x:c r="T17" s="29" t="n">
        <x:v>3</x:v>
      </x:c>
      <x:c r="U17" s="29" t="str">
        <x:v>Vérifié sur arrêté</x:v>
      </x:c>
      <x:c r="V17" s="29" t="n">
        <x:f>IF(COUNTA(K17:M17)=0,"",SUM(K17:M17))</x:f>
        <x:v>37.5</x:v>
      </x:c>
      <x:c r="W17" s="29" t="n">
        <x:f>IF(V17="","",V17-J17)</x:f>
        <x:v>0</x:v>
      </x:c>
      <x:c r="X17" s="28" t="str"/>
    </x:row>
    <x:row r="18">
      <x:c r="A18" s="28" t="str">
        <x:v>REG-017</x:v>
      </x:c>
      <x:c r="B18" s="28" t="str">
        <x:v>Cycle 1</x:v>
      </x:c>
      <x:c r="C18" s="28" t="str">
        <x:v>Formation de base</x:v>
      </x:c>
      <x:c r="D18" s="28" t="str">
        <x:v>1re année</x:v>
      </x:c>
      <x:c r="E18" s="28" t="str">
        <x:v>Formation de base</x:v>
      </x:c>
      <x:c r="F18" s="28" t="str">
        <x:v>S2</x:v>
      </x:c>
      <x:c r="G18" s="28" t="str">
        <x:v>UE transversale</x:v>
      </x:c>
      <x:c r="H18" s="28" t="str"/>
      <x:c r="I18" s="28" t="str">
        <x:v>Techniques d’expression et de communication 2</x:v>
      </x:c>
      <x:c r="J18" s="29" t="n">
        <x:v>22.5</x:v>
      </x:c>
      <x:c r="K18" s="29" t="n">
        <x:v>22.5</x:v>
      </x:c>
      <x:c r="L18" s="29" t="n">
        <x:v>0</x:v>
      </x:c>
      <x:c r="M18" s="29" t="n">
        <x:v>0</x:v>
      </x:c>
      <x:c r="N18" s="29" t="n">
        <x:v>22.5</x:v>
      </x:c>
      <x:c r="O18" s="29" t="n">
        <x:v>1</x:v>
      </x:c>
      <x:c r="P18" s="29" t="n">
        <x:v>1</x:v>
      </x:c>
      <x:c r="Q18" s="29" t="str">
        <x:v>Enseignement</x:v>
      </x:c>
      <x:c r="R18" s="29" t="str">
        <x:v>Arrêté n°1455 du 30/10/2025</x:v>
      </x:c>
      <x:c r="S18" s="29" t="str">
        <x:v>30/10/2025</x:v>
      </x:c>
      <x:c r="T18" s="29" t="n">
        <x:v>3</x:v>
      </x:c>
      <x:c r="U18" s="29" t="str">
        <x:v>Vérifié sur arrêté</x:v>
      </x:c>
      <x:c r="V18" s="29" t="n">
        <x:f>IF(COUNTA(K18:M18)=0,"",SUM(K18:M18))</x:f>
        <x:v>22.5</x:v>
      </x:c>
      <x:c r="W18" s="29" t="n">
        <x:f>IF(V18="","",V18-J18)</x:f>
        <x:v>0</x:v>
      </x:c>
      <x:c r="X18" s="28" t="str"/>
    </x:row>
    <x:row r="19">
      <x:c r="A19" s="28" t="str">
        <x:v>REG-018</x:v>
      </x:c>
      <x:c r="B19" s="28" t="str">
        <x:v>Cycle 1</x:v>
      </x:c>
      <x:c r="C19" s="28" t="str">
        <x:v>Formation de base</x:v>
      </x:c>
      <x:c r="D19" s="28" t="str">
        <x:v>2e année</x:v>
      </x:c>
      <x:c r="E19" s="28" t="str">
        <x:v>Formation de base</x:v>
      </x:c>
      <x:c r="F19" s="28" t="str">
        <x:v>S3</x:v>
      </x:c>
      <x:c r="G19" s="28" t="str">
        <x:v>UE fondamentale</x:v>
      </x:c>
      <x:c r="H19" s="28" t="str">
        <x:v>UF1</x:v>
      </x:c>
      <x:c r="I19" s="28" t="str">
        <x:v>Physiologie végétale</x:v>
      </x:c>
      <x:c r="J19" s="29" t="n">
        <x:v>67</x:v>
      </x:c>
      <x:c r="K19" s="29" t="n">
        <x:v>40</x:v>
      </x:c>
      <x:c r="L19" s="29" t="n">
        <x:v>12</x:v>
      </x:c>
      <x:c r="M19" s="29" t="n">
        <x:v>15</x:v>
      </x:c>
      <x:c r="N19" s="29" t="n">
        <x:v>67</x:v>
      </x:c>
      <x:c r="O19" s="29" t="n">
        <x:v>3</x:v>
      </x:c>
      <x:c r="P19" s="29" t="n">
        <x:v>5</x:v>
      </x:c>
      <x:c r="Q19" s="29" t="str">
        <x:v>Enseignement</x:v>
      </x:c>
      <x:c r="R19" s="29" t="str">
        <x:v>Arrêté n°1455 du 30/10/2025</x:v>
      </x:c>
      <x:c r="S19" s="29" t="str">
        <x:v>30/10/2025</x:v>
      </x:c>
      <x:c r="T19" s="29" t="n">
        <x:v>4</x:v>
      </x:c>
      <x:c r="U19" s="29" t="str">
        <x:v>Vérifié sur arrêté</x:v>
      </x:c>
      <x:c r="V19" s="29" t="n">
        <x:f>IF(COUNTA(K19:M19)=0,"",SUM(K19:M19))</x:f>
        <x:v>67</x:v>
      </x:c>
      <x:c r="W19" s="29" t="n">
        <x:f>IF(V19="","",V19-J19)</x:f>
        <x:v>0</x:v>
      </x:c>
      <x:c r="X19" s="28" t="str"/>
    </x:row>
    <x:row r="20">
      <x:c r="A20" s="28" t="str">
        <x:v>REG-019</x:v>
      </x:c>
      <x:c r="B20" s="28" t="str">
        <x:v>Cycle 1</x:v>
      </x:c>
      <x:c r="C20" s="28" t="str">
        <x:v>Formation de base</x:v>
      </x:c>
      <x:c r="D20" s="28" t="str">
        <x:v>2e année</x:v>
      </x:c>
      <x:c r="E20" s="28" t="str">
        <x:v>Formation de base</x:v>
      </x:c>
      <x:c r="F20" s="28" t="str">
        <x:v>S3</x:v>
      </x:c>
      <x:c r="G20" s="28" t="str">
        <x:v>UE fondamentale</x:v>
      </x:c>
      <x:c r="H20" s="28" t="str">
        <x:v>UF1</x:v>
      </x:c>
      <x:c r="I20" s="28" t="str">
        <x:v>Biosystématique animale</x:v>
      </x:c>
      <x:c r="J20" s="29" t="n">
        <x:v>50</x:v>
      </x:c>
      <x:c r="K20" s="29" t="n">
        <x:v>35</x:v>
      </x:c>
      <x:c r="L20" s="29" t="n">
        <x:v>0</x:v>
      </x:c>
      <x:c r="M20" s="29" t="n">
        <x:v>15</x:v>
      </x:c>
      <x:c r="N20" s="29" t="n">
        <x:v>50</x:v>
      </x:c>
      <x:c r="O20" s="29" t="n">
        <x:v>3</x:v>
      </x:c>
      <x:c r="P20" s="29" t="n">
        <x:v>4</x:v>
      </x:c>
      <x:c r="Q20" s="29" t="str">
        <x:v>Enseignement</x:v>
      </x:c>
      <x:c r="R20" s="29" t="str">
        <x:v>Arrêté n°1455 du 30/10/2025</x:v>
      </x:c>
      <x:c r="S20" s="29" t="str">
        <x:v>30/10/2025</x:v>
      </x:c>
      <x:c r="T20" s="29" t="n">
        <x:v>4</x:v>
      </x:c>
      <x:c r="U20" s="29" t="str">
        <x:v>Vérifié sur arrêté</x:v>
      </x:c>
      <x:c r="V20" s="29" t="n">
        <x:f>IF(COUNTA(K20:M20)=0,"",SUM(K20:M20))</x:f>
        <x:v>50</x:v>
      </x:c>
      <x:c r="W20" s="29" t="n">
        <x:f>IF(V20="","",V20-J20)</x:f>
        <x:v>0</x:v>
      </x:c>
      <x:c r="X20" s="28" t="str"/>
    </x:row>
    <x:row r="21">
      <x:c r="A21" s="28" t="str">
        <x:v>REG-020</x:v>
      </x:c>
      <x:c r="B21" s="28" t="str">
        <x:v>Cycle 1</x:v>
      </x:c>
      <x:c r="C21" s="28" t="str">
        <x:v>Formation de base</x:v>
      </x:c>
      <x:c r="D21" s="28" t="str">
        <x:v>2e année</x:v>
      </x:c>
      <x:c r="E21" s="28" t="str">
        <x:v>Formation de base</x:v>
      </x:c>
      <x:c r="F21" s="28" t="str">
        <x:v>S3</x:v>
      </x:c>
      <x:c r="G21" s="28" t="str">
        <x:v>UE fondamentale</x:v>
      </x:c>
      <x:c r="H21" s="28" t="str">
        <x:v>UF2</x:v>
      </x:c>
      <x:c r="I21" s="28" t="str">
        <x:v>Génétique</x:v>
      </x:c>
      <x:c r="J21" s="29" t="n">
        <x:v>55</x:v>
      </x:c>
      <x:c r="K21" s="29" t="n">
        <x:v>40</x:v>
      </x:c>
      <x:c r="L21" s="29" t="n">
        <x:v>15</x:v>
      </x:c>
      <x:c r="M21" s="29" t="n">
        <x:v>0</x:v>
      </x:c>
      <x:c r="N21" s="29" t="n">
        <x:v>55</x:v>
      </x:c>
      <x:c r="O21" s="29" t="n">
        <x:v>3</x:v>
      </x:c>
      <x:c r="P21" s="29" t="n">
        <x:v>5</x:v>
      </x:c>
      <x:c r="Q21" s="29" t="str">
        <x:v>Enseignement</x:v>
      </x:c>
      <x:c r="R21" s="29" t="str">
        <x:v>Arrêté n°1455 du 30/10/2025</x:v>
      </x:c>
      <x:c r="S21" s="29" t="str">
        <x:v>30/10/2025</x:v>
      </x:c>
      <x:c r="T21" s="29" t="n">
        <x:v>4</x:v>
      </x:c>
      <x:c r="U21" s="29" t="str">
        <x:v>Vérifié sur arrêté</x:v>
      </x:c>
      <x:c r="V21" s="29" t="n">
        <x:f>IF(COUNTA(K21:M21)=0,"",SUM(K21:M21))</x:f>
        <x:v>55</x:v>
      </x:c>
      <x:c r="W21" s="29" t="n">
        <x:f>IF(V21="","",V21-J21)</x:f>
        <x:v>0</x:v>
      </x:c>
      <x:c r="X21" s="28" t="str"/>
    </x:row>
    <x:row r="22">
      <x:c r="A22" s="28" t="str">
        <x:v>REG-021</x:v>
      </x:c>
      <x:c r="B22" s="28" t="str">
        <x:v>Cycle 1</x:v>
      </x:c>
      <x:c r="C22" s="28" t="str">
        <x:v>Formation de base</x:v>
      </x:c>
      <x:c r="D22" s="28" t="str">
        <x:v>2e année</x:v>
      </x:c>
      <x:c r="E22" s="28" t="str">
        <x:v>Formation de base</x:v>
      </x:c>
      <x:c r="F22" s="28" t="str">
        <x:v>S3</x:v>
      </x:c>
      <x:c r="G22" s="28" t="str">
        <x:v>UE fondamentale</x:v>
      </x:c>
      <x:c r="H22" s="28" t="str">
        <x:v>UF2</x:v>
      </x:c>
      <x:c r="I22" s="28" t="str">
        <x:v>Biochimie structurale</x:v>
      </x:c>
      <x:c r="J22" s="29" t="n">
        <x:v>65</x:v>
      </x:c>
      <x:c r="K22" s="29" t="n">
        <x:v>35</x:v>
      </x:c>
      <x:c r="L22" s="29" t="n">
        <x:v>15</x:v>
      </x:c>
      <x:c r="M22" s="29" t="n">
        <x:v>15</x:v>
      </x:c>
      <x:c r="N22" s="29" t="n">
        <x:v>65</x:v>
      </x:c>
      <x:c r="O22" s="29" t="n">
        <x:v>3</x:v>
      </x:c>
      <x:c r="P22" s="29" t="n">
        <x:v>4</x:v>
      </x:c>
      <x:c r="Q22" s="29" t="str">
        <x:v>Enseignement</x:v>
      </x:c>
      <x:c r="R22" s="29" t="str">
        <x:v>Arrêté n°1455 du 30/10/2025</x:v>
      </x:c>
      <x:c r="S22" s="29" t="str">
        <x:v>30/10/2025</x:v>
      </x:c>
      <x:c r="T22" s="29" t="n">
        <x:v>4</x:v>
      </x:c>
      <x:c r="U22" s="29" t="str">
        <x:v>Vérifié sur arrêté</x:v>
      </x:c>
      <x:c r="V22" s="29" t="n">
        <x:f>IF(COUNTA(K22:M22)=0,"",SUM(K22:M22))</x:f>
        <x:v>65</x:v>
      </x:c>
      <x:c r="W22" s="29" t="n">
        <x:f>IF(V22="","",V22-J22)</x:f>
        <x:v>0</x:v>
      </x:c>
      <x:c r="X22" s="28" t="str"/>
    </x:row>
    <x:row r="23">
      <x:c r="A23" s="28" t="str">
        <x:v>REG-022</x:v>
      </x:c>
      <x:c r="B23" s="28" t="str">
        <x:v>Cycle 1</x:v>
      </x:c>
      <x:c r="C23" s="28" t="str">
        <x:v>Formation de base</x:v>
      </x:c>
      <x:c r="D23" s="28" t="str">
        <x:v>2e année</x:v>
      </x:c>
      <x:c r="E23" s="28" t="str">
        <x:v>Formation de base</x:v>
      </x:c>
      <x:c r="F23" s="28" t="str">
        <x:v>S3</x:v>
      </x:c>
      <x:c r="G23" s="28" t="str">
        <x:v>UE méthodologique</x:v>
      </x:c>
      <x:c r="H23" s="28" t="str"/>
      <x:c r="I23" s="28" t="str">
        <x:v>Biostatistique 1</x:v>
      </x:c>
      <x:c r="J23" s="29" t="n">
        <x:v>46.5</x:v>
      </x:c>
      <x:c r="K23" s="29" t="n">
        <x:v>22.5</x:v>
      </x:c>
      <x:c r="L23" s="29" t="n">
        <x:v>15</x:v>
      </x:c>
      <x:c r="M23" s="29" t="n">
        <x:v>9</x:v>
      </x:c>
      <x:c r="N23" s="29" t="n">
        <x:v>46.5</x:v>
      </x:c>
      <x:c r="O23" s="29" t="n">
        <x:v>2</x:v>
      </x:c>
      <x:c r="P23" s="29" t="n">
        <x:v>5</x:v>
      </x:c>
      <x:c r="Q23" s="29" t="str">
        <x:v>Enseignement</x:v>
      </x:c>
      <x:c r="R23" s="29" t="str">
        <x:v>Arrêté n°1455 du 30/10/2025</x:v>
      </x:c>
      <x:c r="S23" s="29" t="str">
        <x:v>30/10/2025</x:v>
      </x:c>
      <x:c r="T23" s="29" t="n">
        <x:v>4</x:v>
      </x:c>
      <x:c r="U23" s="29" t="str">
        <x:v>Vérifié sur arrêté</x:v>
      </x:c>
      <x:c r="V23" s="29" t="n">
        <x:f>IF(COUNTA(K23:M23)=0,"",SUM(K23:M23))</x:f>
        <x:v>46.5</x:v>
      </x:c>
      <x:c r="W23" s="29" t="n">
        <x:f>IF(V23="","",V23-J23)</x:f>
        <x:v>0</x:v>
      </x:c>
      <x:c r="X23" s="28" t="str"/>
    </x:row>
    <x:row r="24">
      <x:c r="A24" s="28" t="str">
        <x:v>REG-023</x:v>
      </x:c>
      <x:c r="B24" s="28" t="str">
        <x:v>Cycle 1</x:v>
      </x:c>
      <x:c r="C24" s="28" t="str">
        <x:v>Formation de base</x:v>
      </x:c>
      <x:c r="D24" s="28" t="str">
        <x:v>2e année</x:v>
      </x:c>
      <x:c r="E24" s="28" t="str">
        <x:v>Formation de base</x:v>
      </x:c>
      <x:c r="F24" s="28" t="str">
        <x:v>S3</x:v>
      </x:c>
      <x:c r="G24" s="28" t="str">
        <x:v>UE méthodologique</x:v>
      </x:c>
      <x:c r="H24" s="28" t="str"/>
      <x:c r="I24" s="28" t="str">
        <x:v>Techniques d’analyse biologique</x:v>
      </x:c>
      <x:c r="J24" s="29" t="n">
        <x:v>34.5</x:v>
      </x:c>
      <x:c r="K24" s="29" t="n">
        <x:v>22.5</x:v>
      </x:c>
      <x:c r="L24" s="29" t="n">
        <x:v>0</x:v>
      </x:c>
      <x:c r="M24" s="29" t="n">
        <x:v>12</x:v>
      </x:c>
      <x:c r="N24" s="29" t="n">
        <x:v>34.5</x:v>
      </x:c>
      <x:c r="O24" s="29" t="n">
        <x:v>1</x:v>
      </x:c>
      <x:c r="P24" s="29" t="n">
        <x:v>4</x:v>
      </x:c>
      <x:c r="Q24" s="29" t="str">
        <x:v>Enseignement</x:v>
      </x:c>
      <x:c r="R24" s="29" t="str">
        <x:v>Arrêté n°1455 du 30/10/2025</x:v>
      </x:c>
      <x:c r="S24" s="29" t="str">
        <x:v>30/10/2025</x:v>
      </x:c>
      <x:c r="T24" s="29" t="n">
        <x:v>4</x:v>
      </x:c>
      <x:c r="U24" s="29" t="str">
        <x:v>Vérifié sur arrêté</x:v>
      </x:c>
      <x:c r="V24" s="29" t="n">
        <x:f>IF(COUNTA(K24:M24)=0,"",SUM(K24:M24))</x:f>
        <x:v>34.5</x:v>
      </x:c>
      <x:c r="W24" s="29" t="n">
        <x:f>IF(V24="","",V24-J24)</x:f>
        <x:v>0</x:v>
      </x:c>
      <x:c r="X24" s="28" t="str"/>
    </x:row>
    <x:row r="25">
      <x:c r="A25" s="28" t="str">
        <x:v>REG-024</x:v>
      </x:c>
      <x:c r="B25" s="28" t="str">
        <x:v>Cycle 1</x:v>
      </x:c>
      <x:c r="C25" s="28" t="str">
        <x:v>Formation de base</x:v>
      </x:c>
      <x:c r="D25" s="28" t="str">
        <x:v>2e année</x:v>
      </x:c>
      <x:c r="E25" s="28" t="str">
        <x:v>Formation de base</x:v>
      </x:c>
      <x:c r="F25" s="28" t="str">
        <x:v>S3</x:v>
      </x:c>
      <x:c r="G25" s="28" t="str">
        <x:v>UE découverte</x:v>
      </x:c>
      <x:c r="H25" s="28" t="str"/>
      <x:c r="I25" s="28" t="str">
        <x:v>Introduction à la cartographie</x:v>
      </x:c>
      <x:c r="J25" s="29" t="n">
        <x:v>34.5</x:v>
      </x:c>
      <x:c r="K25" s="29" t="n">
        <x:v>22.5</x:v>
      </x:c>
      <x:c r="L25" s="29" t="n">
        <x:v>0</x:v>
      </x:c>
      <x:c r="M25" s="29" t="n">
        <x:v>12</x:v>
      </x:c>
      <x:c r="N25" s="29" t="n">
        <x:v>34.5</x:v>
      </x:c>
      <x:c r="O25" s="29" t="n">
        <x:v>1</x:v>
      </x:c>
      <x:c r="P25" s="29" t="n">
        <x:v>2</x:v>
      </x:c>
      <x:c r="Q25" s="29" t="str">
        <x:v>Enseignement</x:v>
      </x:c>
      <x:c r="R25" s="29" t="str">
        <x:v>Arrêté n°1455 du 30/10/2025</x:v>
      </x:c>
      <x:c r="S25" s="29" t="str">
        <x:v>30/10/2025</x:v>
      </x:c>
      <x:c r="T25" s="29" t="n">
        <x:v>4</x:v>
      </x:c>
      <x:c r="U25" s="29" t="str">
        <x:v>Vérifié sur arrêté</x:v>
      </x:c>
      <x:c r="V25" s="29" t="n">
        <x:f>IF(COUNTA(K25:M25)=0,"",SUM(K25:M25))</x:f>
        <x:v>34.5</x:v>
      </x:c>
      <x:c r="W25" s="29" t="n">
        <x:f>IF(V25="","",V25-J25)</x:f>
        <x:v>0</x:v>
      </x:c>
      <x:c r="X25" s="28" t="str"/>
    </x:row>
    <x:row r="26">
      <x:c r="A26" s="28" t="str">
        <x:v>REG-025</x:v>
      </x:c>
      <x:c r="B26" s="28" t="str">
        <x:v>Cycle 1</x:v>
      </x:c>
      <x:c r="C26" s="28" t="str">
        <x:v>Formation de base</x:v>
      </x:c>
      <x:c r="D26" s="28" t="str">
        <x:v>2e année</x:v>
      </x:c>
      <x:c r="E26" s="28" t="str">
        <x:v>Formation de base</x:v>
      </x:c>
      <x:c r="F26" s="28" t="str">
        <x:v>S3</x:v>
      </x:c>
      <x:c r="G26" s="28" t="str">
        <x:v>UE transversale</x:v>
      </x:c>
      <x:c r="H26" s="28" t="str"/>
      <x:c r="I26" s="28" t="str">
        <x:v>Techniques d’expression et de communication 3</x:v>
      </x:c>
      <x:c r="J26" s="29" t="n">
        <x:v>22.5</x:v>
      </x:c>
      <x:c r="K26" s="29" t="n">
        <x:v>22.5</x:v>
      </x:c>
      <x:c r="L26" s="29" t="n">
        <x:v>0</x:v>
      </x:c>
      <x:c r="M26" s="29" t="n">
        <x:v>0</x:v>
      </x:c>
      <x:c r="N26" s="29" t="n">
        <x:v>22.5</x:v>
      </x:c>
      <x:c r="O26" s="29" t="n">
        <x:v>1</x:v>
      </x:c>
      <x:c r="P26" s="29" t="n">
        <x:v>1</x:v>
      </x:c>
      <x:c r="Q26" s="29" t="str">
        <x:v>Enseignement</x:v>
      </x:c>
      <x:c r="R26" s="29" t="str">
        <x:v>Arrêté n°1455 du 30/10/2025</x:v>
      </x:c>
      <x:c r="S26" s="29" t="str">
        <x:v>30/10/2025</x:v>
      </x:c>
      <x:c r="T26" s="29" t="n">
        <x:v>4</x:v>
      </x:c>
      <x:c r="U26" s="29" t="str">
        <x:v>Vérifié sur arrêté</x:v>
      </x:c>
      <x:c r="V26" s="29" t="n">
        <x:f>IF(COUNTA(K26:M26)=0,"",SUM(K26:M26))</x:f>
        <x:v>22.5</x:v>
      </x:c>
      <x:c r="W26" s="29" t="n">
        <x:f>IF(V26="","",V26-J26)</x:f>
        <x:v>0</x:v>
      </x:c>
      <x:c r="X26" s="28" t="str"/>
    </x:row>
    <x:row r="27">
      <x:c r="A27" s="28" t="str">
        <x:v>REG-026</x:v>
      </x:c>
      <x:c r="B27" s="28" t="str">
        <x:v>Cycle 1</x:v>
      </x:c>
      <x:c r="C27" s="28" t="str">
        <x:v>Formation de base</x:v>
      </x:c>
      <x:c r="D27" s="28" t="str">
        <x:v>2e année</x:v>
      </x:c>
      <x:c r="E27" s="28" t="str">
        <x:v>Formation de base</x:v>
      </x:c>
      <x:c r="F27" s="28" t="str">
        <x:v>S4</x:v>
      </x:c>
      <x:c r="G27" s="28" t="str">
        <x:v>UE fondamentale</x:v>
      </x:c>
      <x:c r="H27" s="28" t="str">
        <x:v>UF1</x:v>
      </x:c>
      <x:c r="I27" s="28" t="str">
        <x:v>Physiologie animale</x:v>
      </x:c>
      <x:c r="J27" s="29" t="n">
        <x:v>60</x:v>
      </x:c>
      <x:c r="K27" s="29" t="n">
        <x:v>45</x:v>
      </x:c>
      <x:c r="L27" s="29" t="n">
        <x:v>0</x:v>
      </x:c>
      <x:c r="M27" s="29" t="n">
        <x:v>15</x:v>
      </x:c>
      <x:c r="N27" s="29" t="n">
        <x:v>60</x:v>
      </x:c>
      <x:c r="O27" s="29" t="n">
        <x:v>3</x:v>
      </x:c>
      <x:c r="P27" s="29" t="n">
        <x:v>4</x:v>
      </x:c>
      <x:c r="Q27" s="29" t="str">
        <x:v>Enseignement</x:v>
      </x:c>
      <x:c r="R27" s="29" t="str">
        <x:v>Arrêté n°1455 du 30/10/2025</x:v>
      </x:c>
      <x:c r="S27" s="29" t="str">
        <x:v>30/10/2025</x:v>
      </x:c>
      <x:c r="T27" s="29" t="n">
        <x:v>5</x:v>
      </x:c>
      <x:c r="U27" s="29" t="str">
        <x:v>Vérifié sur arrêté</x:v>
      </x:c>
      <x:c r="V27" s="29" t="n">
        <x:f>IF(COUNTA(K27:M27)=0,"",SUM(K27:M27))</x:f>
        <x:v>60</x:v>
      </x:c>
      <x:c r="W27" s="29" t="n">
        <x:f>IF(V27="","",V27-J27)</x:f>
        <x:v>0</x:v>
      </x:c>
      <x:c r="X27" s="28" t="str"/>
    </x:row>
    <x:row r="28">
      <x:c r="A28" s="28" t="str">
        <x:v>REG-027</x:v>
      </x:c>
      <x:c r="B28" s="28" t="str">
        <x:v>Cycle 1</x:v>
      </x:c>
      <x:c r="C28" s="28" t="str">
        <x:v>Formation de base</x:v>
      </x:c>
      <x:c r="D28" s="28" t="str">
        <x:v>2e année</x:v>
      </x:c>
      <x:c r="E28" s="28" t="str">
        <x:v>Formation de base</x:v>
      </x:c>
      <x:c r="F28" s="28" t="str">
        <x:v>S4</x:v>
      </x:c>
      <x:c r="G28" s="28" t="str">
        <x:v>UE fondamentale</x:v>
      </x:c>
      <x:c r="H28" s="28" t="str">
        <x:v>UF1</x:v>
      </x:c>
      <x:c r="I28" s="28" t="str">
        <x:v>Biosystématique végétale</x:v>
      </x:c>
      <x:c r="J28" s="29" t="n">
        <x:v>60</x:v>
      </x:c>
      <x:c r="K28" s="29" t="n">
        <x:v>45</x:v>
      </x:c>
      <x:c r="L28" s="29" t="n">
        <x:v>0</x:v>
      </x:c>
      <x:c r="M28" s="29" t="n">
        <x:v>15</x:v>
      </x:c>
      <x:c r="N28" s="29" t="n">
        <x:v>60</x:v>
      </x:c>
      <x:c r="O28" s="29" t="n">
        <x:v>3</x:v>
      </x:c>
      <x:c r="P28" s="29" t="n">
        <x:v>5</x:v>
      </x:c>
      <x:c r="Q28" s="29" t="str">
        <x:v>Enseignement</x:v>
      </x:c>
      <x:c r="R28" s="29" t="str">
        <x:v>Arrêté n°1455 du 30/10/2025</x:v>
      </x:c>
      <x:c r="S28" s="29" t="str">
        <x:v>30/10/2025</x:v>
      </x:c>
      <x:c r="T28" s="29" t="n">
        <x:v>5</x:v>
      </x:c>
      <x:c r="U28" s="29" t="str">
        <x:v>Vérifié sur arrêté</x:v>
      </x:c>
      <x:c r="V28" s="29" t="n">
        <x:f>IF(COUNTA(K28:M28)=0,"",SUM(K28:M28))</x:f>
        <x:v>60</x:v>
      </x:c>
      <x:c r="W28" s="29" t="n">
        <x:f>IF(V28="","",V28-J28)</x:f>
        <x:v>0</x:v>
      </x:c>
      <x:c r="X28" s="28" t="str"/>
    </x:row>
    <x:row r="29">
      <x:c r="A29" s="28" t="str">
        <x:v>REG-028</x:v>
      </x:c>
      <x:c r="B29" s="28" t="str">
        <x:v>Cycle 1</x:v>
      </x:c>
      <x:c r="C29" s="28" t="str">
        <x:v>Formation de base</x:v>
      </x:c>
      <x:c r="D29" s="28" t="str">
        <x:v>2e année</x:v>
      </x:c>
      <x:c r="E29" s="28" t="str">
        <x:v>Formation de base</x:v>
      </x:c>
      <x:c r="F29" s="28" t="str">
        <x:v>S4</x:v>
      </x:c>
      <x:c r="G29" s="28" t="str">
        <x:v>UE fondamentale</x:v>
      </x:c>
      <x:c r="H29" s="28" t="str">
        <x:v>UF2</x:v>
      </x:c>
      <x:c r="I29" s="28" t="str">
        <x:v>Microbiologie</x:v>
      </x:c>
      <x:c r="J29" s="29" t="n">
        <x:v>57</x:v>
      </x:c>
      <x:c r="K29" s="29" t="n">
        <x:v>42</x:v>
      </x:c>
      <x:c r="L29" s="29" t="n">
        <x:v>0</x:v>
      </x:c>
      <x:c r="M29" s="29" t="n">
        <x:v>15</x:v>
      </x:c>
      <x:c r="N29" s="29" t="n">
        <x:v>57</x:v>
      </x:c>
      <x:c r="O29" s="29" t="n">
        <x:v>3</x:v>
      </x:c>
      <x:c r="P29" s="29" t="n">
        <x:v>4</x:v>
      </x:c>
      <x:c r="Q29" s="29" t="str">
        <x:v>Enseignement</x:v>
      </x:c>
      <x:c r="R29" s="29" t="str">
        <x:v>Arrêté n°1455 du 30/10/2025</x:v>
      </x:c>
      <x:c r="S29" s="29" t="str">
        <x:v>30/10/2025</x:v>
      </x:c>
      <x:c r="T29" s="29" t="n">
        <x:v>5</x:v>
      </x:c>
      <x:c r="U29" s="29" t="str">
        <x:v>Vérifié sur arrêté</x:v>
      </x:c>
      <x:c r="V29" s="29" t="n">
        <x:f>IF(COUNTA(K29:M29)=0,"",SUM(K29:M29))</x:f>
        <x:v>57</x:v>
      </x:c>
      <x:c r="W29" s="29" t="n">
        <x:f>IF(V29="","",V29-J29)</x:f>
        <x:v>0</x:v>
      </x:c>
      <x:c r="X29" s="28" t="str"/>
    </x:row>
    <x:row r="30">
      <x:c r="A30" s="28" t="str">
        <x:v>REG-029</x:v>
      </x:c>
      <x:c r="B30" s="28" t="str">
        <x:v>Cycle 1</x:v>
      </x:c>
      <x:c r="C30" s="28" t="str">
        <x:v>Formation de base</x:v>
      </x:c>
      <x:c r="D30" s="28" t="str">
        <x:v>2e année</x:v>
      </x:c>
      <x:c r="E30" s="28" t="str">
        <x:v>Formation de base</x:v>
      </x:c>
      <x:c r="F30" s="28" t="str">
        <x:v>S4</x:v>
      </x:c>
      <x:c r="G30" s="28" t="str">
        <x:v>UE fondamentale</x:v>
      </x:c>
      <x:c r="H30" s="28" t="str">
        <x:v>UF2</x:v>
      </x:c>
      <x:c r="I30" s="28" t="str">
        <x:v>Écologie générale</x:v>
      </x:c>
      <x:c r="J30" s="29" t="n">
        <x:v>57</x:v>
      </x:c>
      <x:c r="K30" s="29" t="n">
        <x:v>42</x:v>
      </x:c>
      <x:c r="L30" s="29" t="n">
        <x:v>15</x:v>
      </x:c>
      <x:c r="M30" s="29" t="n">
        <x:v>0</x:v>
      </x:c>
      <x:c r="N30" s="29" t="n">
        <x:v>57</x:v>
      </x:c>
      <x:c r="O30" s="29" t="n">
        <x:v>3</x:v>
      </x:c>
      <x:c r="P30" s="29" t="n">
        <x:v>5</x:v>
      </x:c>
      <x:c r="Q30" s="29" t="str">
        <x:v>Enseignement</x:v>
      </x:c>
      <x:c r="R30" s="29" t="str">
        <x:v>Arrêté n°1455 du 30/10/2025</x:v>
      </x:c>
      <x:c r="S30" s="29" t="str">
        <x:v>30/10/2025</x:v>
      </x:c>
      <x:c r="T30" s="29" t="n">
        <x:v>5</x:v>
      </x:c>
      <x:c r="U30" s="29" t="str">
        <x:v>Vérifié sur arrêté</x:v>
      </x:c>
      <x:c r="V30" s="29" t="n">
        <x:f>IF(COUNTA(K30:M30)=0,"",SUM(K30:M30))</x:f>
        <x:v>57</x:v>
      </x:c>
      <x:c r="W30" s="29" t="n">
        <x:f>IF(V30="","",V30-J30)</x:f>
        <x:v>0</x:v>
      </x:c>
      <x:c r="X30" s="28" t="str"/>
    </x:row>
    <x:row r="31">
      <x:c r="A31" s="28" t="str">
        <x:v>REG-030</x:v>
      </x:c>
      <x:c r="B31" s="28" t="str">
        <x:v>Cycle 1</x:v>
      </x:c>
      <x:c r="C31" s="28" t="str">
        <x:v>Formation de base</x:v>
      </x:c>
      <x:c r="D31" s="28" t="str">
        <x:v>2e année</x:v>
      </x:c>
      <x:c r="E31" s="28" t="str">
        <x:v>Formation de base</x:v>
      </x:c>
      <x:c r="F31" s="28" t="str">
        <x:v>S4</x:v>
      </x:c>
      <x:c r="G31" s="28" t="str">
        <x:v>UE méthodologique</x:v>
      </x:c>
      <x:c r="H31" s="28" t="str"/>
      <x:c r="I31" s="28" t="str">
        <x:v>Biostatistique 2</x:v>
      </x:c>
      <x:c r="J31" s="29" t="n">
        <x:v>46.5</x:v>
      </x:c>
      <x:c r="K31" s="29" t="n">
        <x:v>22.5</x:v>
      </x:c>
      <x:c r="L31" s="29" t="n">
        <x:v>15</x:v>
      </x:c>
      <x:c r="M31" s="29" t="n">
        <x:v>9</x:v>
      </x:c>
      <x:c r="N31" s="29" t="n">
        <x:v>46.5</x:v>
      </x:c>
      <x:c r="O31" s="29" t="n">
        <x:v>2</x:v>
      </x:c>
      <x:c r="P31" s="29" t="n">
        <x:v>5</x:v>
      </x:c>
      <x:c r="Q31" s="29" t="str">
        <x:v>Enseignement</x:v>
      </x:c>
      <x:c r="R31" s="29" t="str">
        <x:v>Arrêté n°1455 du 30/10/2025</x:v>
      </x:c>
      <x:c r="S31" s="29" t="str">
        <x:v>30/10/2025</x:v>
      </x:c>
      <x:c r="T31" s="29" t="n">
        <x:v>5</x:v>
      </x:c>
      <x:c r="U31" s="29" t="str">
        <x:v>Vérifié sur arrêté</x:v>
      </x:c>
      <x:c r="V31" s="29" t="n">
        <x:f>IF(COUNTA(K31:M31)=0,"",SUM(K31:M31))</x:f>
        <x:v>46.5</x:v>
      </x:c>
      <x:c r="W31" s="29" t="n">
        <x:f>IF(V31="","",V31-J31)</x:f>
        <x:v>0</x:v>
      </x:c>
      <x:c r="X31" s="28" t="str"/>
    </x:row>
    <x:row r="32">
      <x:c r="A32" s="28" t="str">
        <x:v>REG-031</x:v>
      </x:c>
      <x:c r="B32" s="28" t="str">
        <x:v>Cycle 1</x:v>
      </x:c>
      <x:c r="C32" s="28" t="str">
        <x:v>Formation de base</x:v>
      </x:c>
      <x:c r="D32" s="28" t="str">
        <x:v>2e année</x:v>
      </x:c>
      <x:c r="E32" s="28" t="str">
        <x:v>Formation de base</x:v>
      </x:c>
      <x:c r="F32" s="28" t="str">
        <x:v>S4</x:v>
      </x:c>
      <x:c r="G32" s="28" t="str">
        <x:v>UE méthodologique</x:v>
      </x:c>
      <x:c r="H32" s="28" t="str"/>
      <x:c r="I32" s="28" t="str">
        <x:v>Méthodologie de recherche et recherche bibliographique</x:v>
      </x:c>
      <x:c r="J32" s="29" t="n">
        <x:v>37.5</x:v>
      </x:c>
      <x:c r="K32" s="29" t="n">
        <x:v>22.5</x:v>
      </x:c>
      <x:c r="L32" s="29" t="n">
        <x:v>15</x:v>
      </x:c>
      <x:c r="M32" s="29" t="n">
        <x:v>0</x:v>
      </x:c>
      <x:c r="N32" s="29" t="n">
        <x:v>37.5</x:v>
      </x:c>
      <x:c r="O32" s="29" t="n">
        <x:v>1</x:v>
      </x:c>
      <x:c r="P32" s="29" t="n">
        <x:v>4</x:v>
      </x:c>
      <x:c r="Q32" s="29" t="str">
        <x:v>Enseignement</x:v>
      </x:c>
      <x:c r="R32" s="29" t="str">
        <x:v>Arrêté n°1455 du 30/10/2025</x:v>
      </x:c>
      <x:c r="S32" s="29" t="str">
        <x:v>30/10/2025</x:v>
      </x:c>
      <x:c r="T32" s="29" t="n">
        <x:v>5</x:v>
      </x:c>
      <x:c r="U32" s="29" t="str">
        <x:v>Vérifié sur arrêté</x:v>
      </x:c>
      <x:c r="V32" s="29" t="n">
        <x:f>IF(COUNTA(K32:M32)=0,"",SUM(K32:M32))</x:f>
        <x:v>37.5</x:v>
      </x:c>
      <x:c r="W32" s="29" t="n">
        <x:f>IF(V32="","",V32-J32)</x:f>
        <x:v>0</x:v>
      </x:c>
      <x:c r="X32" s="28" t="str"/>
    </x:row>
    <x:row r="33">
      <x:c r="A33" s="28" t="str">
        <x:v>REG-032</x:v>
      </x:c>
      <x:c r="B33" s="28" t="str">
        <x:v>Cycle 1</x:v>
      </x:c>
      <x:c r="C33" s="28" t="str">
        <x:v>Formation de base</x:v>
      </x:c>
      <x:c r="D33" s="28" t="str">
        <x:v>2e année</x:v>
      </x:c>
      <x:c r="E33" s="28" t="str">
        <x:v>Formation de base</x:v>
      </x:c>
      <x:c r="F33" s="28" t="str">
        <x:v>S4</x:v>
      </x:c>
      <x:c r="G33" s="28" t="str">
        <x:v>UE découverte</x:v>
      </x:c>
      <x:c r="H33" s="28" t="str"/>
      <x:c r="I33" s="28" t="str">
        <x:v>Pédologie</x:v>
      </x:c>
      <x:c r="J33" s="29" t="n">
        <x:v>34.5</x:v>
      </x:c>
      <x:c r="K33" s="29" t="n">
        <x:v>22.5</x:v>
      </x:c>
      <x:c r="L33" s="29" t="n">
        <x:v>12</x:v>
      </x:c>
      <x:c r="M33" s="29" t="n">
        <x:v>0</x:v>
      </x:c>
      <x:c r="N33" s="29" t="n">
        <x:v>34.5</x:v>
      </x:c>
      <x:c r="O33" s="29" t="n">
        <x:v>1</x:v>
      </x:c>
      <x:c r="P33" s="29" t="n">
        <x:v>2</x:v>
      </x:c>
      <x:c r="Q33" s="29" t="str">
        <x:v>Enseignement</x:v>
      </x:c>
      <x:c r="R33" s="29" t="str">
        <x:v>Arrêté n°1455 du 30/10/2025</x:v>
      </x:c>
      <x:c r="S33" s="29" t="str">
        <x:v>30/10/2025</x:v>
      </x:c>
      <x:c r="T33" s="29" t="n">
        <x:v>5</x:v>
      </x:c>
      <x:c r="U33" s="29" t="str">
        <x:v>Vérifié sur arrêté</x:v>
      </x:c>
      <x:c r="V33" s="29" t="n">
        <x:f>IF(COUNTA(K33:M33)=0,"",SUM(K33:M33))</x:f>
        <x:v>34.5</x:v>
      </x:c>
      <x:c r="W33" s="29" t="n">
        <x:f>IF(V33="","",V33-J33)</x:f>
        <x:v>0</x:v>
      </x:c>
      <x:c r="X33" s="28" t="str"/>
    </x:row>
    <x:row r="34">
      <x:c r="A34" s="28" t="str">
        <x:v>REG-033</x:v>
      </x:c>
      <x:c r="B34" s="28" t="str">
        <x:v>Cycle 1</x:v>
      </x:c>
      <x:c r="C34" s="28" t="str">
        <x:v>Formation de base</x:v>
      </x:c>
      <x:c r="D34" s="28" t="str">
        <x:v>2e année</x:v>
      </x:c>
      <x:c r="E34" s="28" t="str">
        <x:v>Formation de base</x:v>
      </x:c>
      <x:c r="F34" s="28" t="str">
        <x:v>S4</x:v>
      </x:c>
      <x:c r="G34" s="28" t="str">
        <x:v>UE transversale</x:v>
      </x:c>
      <x:c r="H34" s="28" t="str"/>
      <x:c r="I34" s="28" t="str">
        <x:v>Techniques d’expression et de communication 4</x:v>
      </x:c>
      <x:c r="J34" s="29" t="n">
        <x:v>22.5</x:v>
      </x:c>
      <x:c r="K34" s="29" t="n">
        <x:v>22.5</x:v>
      </x:c>
      <x:c r="L34" s="29" t="n">
        <x:v>0</x:v>
      </x:c>
      <x:c r="M34" s="29" t="n">
        <x:v>0</x:v>
      </x:c>
      <x:c r="N34" s="29" t="n">
        <x:v>22.5</x:v>
      </x:c>
      <x:c r="O34" s="29" t="n">
        <x:v>1</x:v>
      </x:c>
      <x:c r="P34" s="29" t="n">
        <x:v>1</x:v>
      </x:c>
      <x:c r="Q34" s="29" t="str">
        <x:v>Enseignement</x:v>
      </x:c>
      <x:c r="R34" s="29" t="str">
        <x:v>Arrêté n°1455 du 30/10/2025</x:v>
      </x:c>
      <x:c r="S34" s="29" t="str">
        <x:v>30/10/2025</x:v>
      </x:c>
      <x:c r="T34" s="29" t="n">
        <x:v>5</x:v>
      </x:c>
      <x:c r="U34" s="29" t="str">
        <x:v>Vérifié sur arrêté</x:v>
      </x:c>
      <x:c r="V34" s="29" t="n">
        <x:f>IF(COUNTA(K34:M34)=0,"",SUM(K34:M34))</x:f>
        <x:v>22.5</x:v>
      </x:c>
      <x:c r="W34" s="29" t="n">
        <x:f>IF(V34="","",V34-J34)</x:f>
        <x:v>0</x:v>
      </x:c>
      <x:c r="X34" s="28" t="str"/>
    </x:row>
    <x:row r="35">
      <x:c r="A35" s="28" t="str">
        <x:v>REG-034</x:v>
      </x:c>
      <x:c r="B35" s="28" t="str">
        <x:v>Cycle 2</x:v>
      </x:c>
      <x:c r="C35" s="28" t="str">
        <x:v>Tronc commun</x:v>
      </x:c>
      <x:c r="D35" s="28" t="str">
        <x:v>1re année</x:v>
      </x:c>
      <x:c r="E35" s="28" t="str">
        <x:v>Sciences forestières (tronc commun)</x:v>
      </x:c>
      <x:c r="F35" s="28" t="str">
        <x:v>S1</x:v>
      </x:c>
      <x:c r="G35" s="28" t="str">
        <x:v>UE fondamentale</x:v>
      </x:c>
      <x:c r="H35" s="28" t="str">
        <x:v>UEF 1.1</x:v>
      </x:c>
      <x:c r="I35" s="28" t="str">
        <x:v>Écologie forestière</x:v>
      </x:c>
      <x:c r="J35" s="29" t="n">
        <x:v>65</x:v>
      </x:c>
      <x:c r="K35" s="29" t="n">
        <x:v>45</x:v>
      </x:c>
      <x:c r="L35" s="29" t="n">
        <x:v>20</x:v>
      </x:c>
      <x:c r="M35" s="29" t="n">
        <x:v>0</x:v>
      </x:c>
      <x:c r="N35" s="29" t="n">
        <x:v>65</x:v>
      </x:c>
      <x:c r="O35" s="29" t="n">
        <x:v>3</x:v>
      </x:c>
      <x:c r="P35" s="29" t="n">
        <x:v>5</x:v>
      </x:c>
      <x:c r="Q35" s="29" t="str">
        <x:v>Enseignement</x:v>
      </x:c>
      <x:c r="R35" s="29" t="str">
        <x:v>Arrêté n°1457 du 04/12/2024</x:v>
      </x:c>
      <x:c r="S35" s="29" t="str">
        <x:v>04/12/2024</x:v>
      </x:c>
      <x:c r="T35" s="29" t="n">
        <x:v>5</x:v>
      </x:c>
      <x:c r="U35" s="29" t="str">
        <x:v>Vérifié sur arrêté</x:v>
      </x:c>
      <x:c r="V35" s="29" t="n">
        <x:f>IF(COUNTA(K35:M35)=0,"",SUM(K35:M35))</x:f>
        <x:v>65</x:v>
      </x:c>
      <x:c r="W35" s="29" t="n">
        <x:f>IF(V35="","",V35-J35)</x:f>
        <x:v>0</x:v>
      </x:c>
      <x:c r="X35" s="28" t="str"/>
    </x:row>
    <x:row r="36">
      <x:c r="A36" s="28" t="str">
        <x:v>REG-035</x:v>
      </x:c>
      <x:c r="B36" s="28" t="str">
        <x:v>Cycle 2</x:v>
      </x:c>
      <x:c r="C36" s="28" t="str">
        <x:v>Tronc commun</x:v>
      </x:c>
      <x:c r="D36" s="28" t="str">
        <x:v>1re année</x:v>
      </x:c>
      <x:c r="E36" s="28" t="str">
        <x:v>Sciences forestières (tronc commun)</x:v>
      </x:c>
      <x:c r="F36" s="28" t="str">
        <x:v>S1</x:v>
      </x:c>
      <x:c r="G36" s="28" t="str">
        <x:v>UE fondamentale</x:v>
      </x:c>
      <x:c r="H36" s="28" t="str">
        <x:v>UEF 1.1</x:v>
      </x:c>
      <x:c r="I36" s="28" t="str">
        <x:v>Botanique forestière</x:v>
      </x:c>
      <x:c r="J36" s="29" t="n">
        <x:v>65</x:v>
      </x:c>
      <x:c r="K36" s="29" t="n">
        <x:v>45</x:v>
      </x:c>
      <x:c r="L36" s="29" t="n">
        <x:v>0</x:v>
      </x:c>
      <x:c r="M36" s="29" t="n">
        <x:v>20</x:v>
      </x:c>
      <x:c r="N36" s="29" t="n">
        <x:v>65</x:v>
      </x:c>
      <x:c r="O36" s="29" t="n">
        <x:v>2</x:v>
      </x:c>
      <x:c r="P36" s="29" t="n">
        <x:v>4</x:v>
      </x:c>
      <x:c r="Q36" s="29" t="str">
        <x:v>Enseignement</x:v>
      </x:c>
      <x:c r="R36" s="29" t="str">
        <x:v>Arrêté n°1457 du 04/12/2024</x:v>
      </x:c>
      <x:c r="S36" s="29" t="str">
        <x:v>04/12/2024</x:v>
      </x:c>
      <x:c r="T36" s="29" t="n">
        <x:v>5</x:v>
      </x:c>
      <x:c r="U36" s="29" t="str">
        <x:v>Vérifié sur arrêté</x:v>
      </x:c>
      <x:c r="V36" s="29" t="n">
        <x:f>IF(COUNTA(K36:M36)=0,"",SUM(K36:M36))</x:f>
        <x:v>65</x:v>
      </x:c>
      <x:c r="W36" s="29" t="n">
        <x:f>IF(V36="","",V36-J36)</x:f>
        <x:v>0</x:v>
      </x:c>
      <x:c r="X36" s="28" t="str"/>
    </x:row>
    <x:row r="37">
      <x:c r="A37" s="28" t="str">
        <x:v>REG-036</x:v>
      </x:c>
      <x:c r="B37" s="28" t="str">
        <x:v>Cycle 2</x:v>
      </x:c>
      <x:c r="C37" s="28" t="str">
        <x:v>Tronc commun</x:v>
      </x:c>
      <x:c r="D37" s="28" t="str">
        <x:v>1re année</x:v>
      </x:c>
      <x:c r="E37" s="28" t="str">
        <x:v>Sciences forestières (tronc commun)</x:v>
      </x:c>
      <x:c r="F37" s="28" t="str">
        <x:v>S1</x:v>
      </x:c>
      <x:c r="G37" s="28" t="str">
        <x:v>UE fondamentale</x:v>
      </x:c>
      <x:c r="H37" s="28" t="str">
        <x:v>UEF 1.1</x:v>
      </x:c>
      <x:c r="I37" s="28" t="str">
        <x:v>Géographie forestière</x:v>
      </x:c>
      <x:c r="J37" s="29" t="n">
        <x:v>50</x:v>
      </x:c>
      <x:c r="K37" s="29" t="n">
        <x:v>30</x:v>
      </x:c>
      <x:c r="L37" s="29" t="n">
        <x:v>0</x:v>
      </x:c>
      <x:c r="M37" s="29" t="n">
        <x:v>20</x:v>
      </x:c>
      <x:c r="N37" s="29" t="n">
        <x:v>50</x:v>
      </x:c>
      <x:c r="O37" s="29" t="n">
        <x:v>2</x:v>
      </x:c>
      <x:c r="P37" s="29" t="n">
        <x:v>4</x:v>
      </x:c>
      <x:c r="Q37" s="29" t="str">
        <x:v>Enseignement</x:v>
      </x:c>
      <x:c r="R37" s="29" t="str">
        <x:v>Arrêté n°1457 du 04/12/2024</x:v>
      </x:c>
      <x:c r="S37" s="29" t="str">
        <x:v>04/12/2024</x:v>
      </x:c>
      <x:c r="T37" s="29" t="n">
        <x:v>5</x:v>
      </x:c>
      <x:c r="U37" s="29" t="str">
        <x:v>Vérifié sur arrêté</x:v>
      </x:c>
      <x:c r="V37" s="29" t="n">
        <x:f>IF(COUNTA(K37:M37)=0,"",SUM(K37:M37))</x:f>
        <x:v>50</x:v>
      </x:c>
      <x:c r="W37" s="29" t="n">
        <x:f>IF(V37="","",V37-J37)</x:f>
        <x:v>0</x:v>
      </x:c>
      <x:c r="X37" s="28" t="str"/>
    </x:row>
    <x:row r="38">
      <x:c r="A38" s="28" t="str">
        <x:v>REG-037</x:v>
      </x:c>
      <x:c r="B38" s="28" t="str">
        <x:v>Cycle 2</x:v>
      </x:c>
      <x:c r="C38" s="28" t="str">
        <x:v>Tronc commun</x:v>
      </x:c>
      <x:c r="D38" s="28" t="str">
        <x:v>1re année</x:v>
      </x:c>
      <x:c r="E38" s="28" t="str">
        <x:v>Sciences forestières (tronc commun)</x:v>
      </x:c>
      <x:c r="F38" s="28" t="str">
        <x:v>S1</x:v>
      </x:c>
      <x:c r="G38" s="28" t="str">
        <x:v>UE fondamentale</x:v>
      </x:c>
      <x:c r="H38" s="28" t="str">
        <x:v>UEF 1.2</x:v>
      </x:c>
      <x:c r="I38" s="28" t="str">
        <x:v>Sols forestiers</x:v>
      </x:c>
      <x:c r="J38" s="29" t="n">
        <x:v>45</x:v>
      </x:c>
      <x:c r="K38" s="29" t="n">
        <x:v>30</x:v>
      </x:c>
      <x:c r="L38" s="29" t="n">
        <x:v>0</x:v>
      </x:c>
      <x:c r="M38" s="29" t="n">
        <x:v>15</x:v>
      </x:c>
      <x:c r="N38" s="29" t="n">
        <x:v>45</x:v>
      </x:c>
      <x:c r="O38" s="29" t="n">
        <x:v>2</x:v>
      </x:c>
      <x:c r="P38" s="29" t="n">
        <x:v>4</x:v>
      </x:c>
      <x:c r="Q38" s="29" t="str">
        <x:v>Enseignement</x:v>
      </x:c>
      <x:c r="R38" s="29" t="str">
        <x:v>Arrêté n°1457 du 04/12/2024</x:v>
      </x:c>
      <x:c r="S38" s="29" t="str">
        <x:v>04/12/2024</x:v>
      </x:c>
      <x:c r="T38" s="29" t="n">
        <x:v>5</x:v>
      </x:c>
      <x:c r="U38" s="29" t="str">
        <x:v>Vérifié sur arrêté</x:v>
      </x:c>
      <x:c r="V38" s="29" t="n">
        <x:f>IF(COUNTA(K38:M38)=0,"",SUM(K38:M38))</x:f>
        <x:v>45</x:v>
      </x:c>
      <x:c r="W38" s="29" t="n">
        <x:f>IF(V38="","",V38-J38)</x:f>
        <x:v>0</x:v>
      </x:c>
      <x:c r="X38" s="28" t="str"/>
    </x:row>
    <x:row r="39">
      <x:c r="A39" s="28" t="str">
        <x:v>REG-038</x:v>
      </x:c>
      <x:c r="B39" s="28" t="str">
        <x:v>Cycle 2</x:v>
      </x:c>
      <x:c r="C39" s="28" t="str">
        <x:v>Tronc commun</x:v>
      </x:c>
      <x:c r="D39" s="28" t="str">
        <x:v>1re année</x:v>
      </x:c>
      <x:c r="E39" s="28" t="str">
        <x:v>Sciences forestières (tronc commun)</x:v>
      </x:c>
      <x:c r="F39" s="28" t="str">
        <x:v>S1</x:v>
      </x:c>
      <x:c r="G39" s="28" t="str">
        <x:v>UE fondamentale</x:v>
      </x:c>
      <x:c r="H39" s="28" t="str">
        <x:v>UEF 1.2</x:v>
      </x:c>
      <x:c r="I39" s="28" t="str">
        <x:v>Bioclimatologie</x:v>
      </x:c>
      <x:c r="J39" s="29" t="n">
        <x:v>39</x:v>
      </x:c>
      <x:c r="K39" s="29" t="n">
        <x:v>21</x:v>
      </x:c>
      <x:c r="L39" s="29" t="n">
        <x:v>18</x:v>
      </x:c>
      <x:c r="M39" s="29" t="n">
        <x:v>0</x:v>
      </x:c>
      <x:c r="N39" s="29" t="n">
        <x:v>39</x:v>
      </x:c>
      <x:c r="O39" s="29" t="n">
        <x:v>2</x:v>
      </x:c>
      <x:c r="P39" s="29" t="n">
        <x:v>3</x:v>
      </x:c>
      <x:c r="Q39" s="29" t="str">
        <x:v>Enseignement</x:v>
      </x:c>
      <x:c r="R39" s="29" t="str">
        <x:v>Arrêté n°1457 du 04/12/2024</x:v>
      </x:c>
      <x:c r="S39" s="29" t="str">
        <x:v>04/12/2024</x:v>
      </x:c>
      <x:c r="T39" s="29" t="n">
        <x:v>5</x:v>
      </x:c>
      <x:c r="U39" s="29" t="str">
        <x:v>Vérifié sur arrêté</x:v>
      </x:c>
      <x:c r="V39" s="29" t="n">
        <x:f>IF(COUNTA(K39:M39)=0,"",SUM(K39:M39))</x:f>
        <x:v>39</x:v>
      </x:c>
      <x:c r="W39" s="29" t="n">
        <x:f>IF(V39="","",V39-J39)</x:f>
        <x:v>0</x:v>
      </x:c>
      <x:c r="X39" s="28" t="str"/>
    </x:row>
    <x:row r="40">
      <x:c r="A40" s="28" t="str">
        <x:v>REG-039</x:v>
      </x:c>
      <x:c r="B40" s="28" t="str">
        <x:v>Cycle 2</x:v>
      </x:c>
      <x:c r="C40" s="28" t="str">
        <x:v>Tronc commun</x:v>
      </x:c>
      <x:c r="D40" s="28" t="str">
        <x:v>1re année</x:v>
      </x:c>
      <x:c r="E40" s="28" t="str">
        <x:v>Sciences forestières (tronc commun)</x:v>
      </x:c>
      <x:c r="F40" s="28" t="str">
        <x:v>S1</x:v>
      </x:c>
      <x:c r="G40" s="28" t="str">
        <x:v>UE méthodologique</x:v>
      </x:c>
      <x:c r="H40" s="28" t="str">
        <x:v>UEM 1.1</x:v>
      </x:c>
      <x:c r="I40" s="28" t="str">
        <x:v>Cartographie et Système d’Information Géographique (SIG)</x:v>
      </x:c>
      <x:c r="J40" s="29" t="n">
        <x:v>45</x:v>
      </x:c>
      <x:c r="K40" s="29" t="n">
        <x:v>15</x:v>
      </x:c>
      <x:c r="L40" s="29" t="n">
        <x:v>0</x:v>
      </x:c>
      <x:c r="M40" s="29" t="n">
        <x:v>30</x:v>
      </x:c>
      <x:c r="N40" s="29" t="n">
        <x:v>45</x:v>
      </x:c>
      <x:c r="O40" s="29" t="n">
        <x:v>2</x:v>
      </x:c>
      <x:c r="P40" s="29" t="n">
        <x:v>3</x:v>
      </x:c>
      <x:c r="Q40" s="29" t="str">
        <x:v>Enseignement</x:v>
      </x:c>
      <x:c r="R40" s="29" t="str">
        <x:v>Arrêté n°1457 du 04/12/2024</x:v>
      </x:c>
      <x:c r="S40" s="29" t="str">
        <x:v>04/12/2024</x:v>
      </x:c>
      <x:c r="T40" s="29" t="n">
        <x:v>5</x:v>
      </x:c>
      <x:c r="U40" s="29" t="str">
        <x:v>Vérifié sur arrêté</x:v>
      </x:c>
      <x:c r="V40" s="29" t="n">
        <x:f>IF(COUNTA(K40:M40)=0,"",SUM(K40:M40))</x:f>
        <x:v>45</x:v>
      </x:c>
      <x:c r="W40" s="29" t="n">
        <x:f>IF(V40="","",V40-J40)</x:f>
        <x:v>0</x:v>
      </x:c>
      <x:c r="X40" s="28" t="str"/>
    </x:row>
    <x:row r="41">
      <x:c r="A41" s="28" t="str">
        <x:v>REG-040</x:v>
      </x:c>
      <x:c r="B41" s="28" t="str">
        <x:v>Cycle 2</x:v>
      </x:c>
      <x:c r="C41" s="28" t="str">
        <x:v>Tronc commun</x:v>
      </x:c>
      <x:c r="D41" s="28" t="str">
        <x:v>1re année</x:v>
      </x:c>
      <x:c r="E41" s="28" t="str">
        <x:v>Sciences forestières (tronc commun)</x:v>
      </x:c>
      <x:c r="F41" s="28" t="str">
        <x:v>S1</x:v>
      </x:c>
      <x:c r="G41" s="28" t="str">
        <x:v>UE méthodologique</x:v>
      </x:c>
      <x:c r="H41" s="28" t="str">
        <x:v>UEM 1.1</x:v>
      </x:c>
      <x:c r="I41" s="28" t="str">
        <x:v>Biostatistique 1</x:v>
      </x:c>
      <x:c r="J41" s="29" t="n">
        <x:v>36</x:v>
      </x:c>
      <x:c r="K41" s="29" t="n">
        <x:v>15</x:v>
      </x:c>
      <x:c r="L41" s="29" t="n">
        <x:v>21</x:v>
      </x:c>
      <x:c r="M41" s="29" t="n">
        <x:v>0</x:v>
      </x:c>
      <x:c r="N41" s="29" t="n">
        <x:v>36</x:v>
      </x:c>
      <x:c r="O41" s="29" t="n">
        <x:v>2</x:v>
      </x:c>
      <x:c r="P41" s="29" t="n">
        <x:v>4</x:v>
      </x:c>
      <x:c r="Q41" s="29" t="str">
        <x:v>Enseignement</x:v>
      </x:c>
      <x:c r="R41" s="29" t="str">
        <x:v>Arrêté n°1457 du 04/12/2024</x:v>
      </x:c>
      <x:c r="S41" s="29" t="str">
        <x:v>04/12/2024</x:v>
      </x:c>
      <x:c r="T41" s="29" t="n">
        <x:v>5</x:v>
      </x:c>
      <x:c r="U41" s="29" t="str">
        <x:v>Vérifié sur arrêté</x:v>
      </x:c>
      <x:c r="V41" s="29" t="n">
        <x:f>IF(COUNTA(K41:M41)=0,"",SUM(K41:M41))</x:f>
        <x:v>36</x:v>
      </x:c>
      <x:c r="W41" s="29" t="n">
        <x:f>IF(V41="","",V41-J41)</x:f>
        <x:v>0</x:v>
      </x:c>
      <x:c r="X41" s="28" t="str"/>
    </x:row>
    <x:row r="42">
      <x:c r="A42" s="28" t="str">
        <x:v>REG-041</x:v>
      </x:c>
      <x:c r="B42" s="28" t="str">
        <x:v>Cycle 2</x:v>
      </x:c>
      <x:c r="C42" s="28" t="str">
        <x:v>Tronc commun</x:v>
      </x:c>
      <x:c r="D42" s="28" t="str">
        <x:v>1re année</x:v>
      </x:c>
      <x:c r="E42" s="28" t="str">
        <x:v>Sciences forestières (tronc commun)</x:v>
      </x:c>
      <x:c r="F42" s="28" t="str">
        <x:v>S1</x:v>
      </x:c>
      <x:c r="G42" s="28" t="str">
        <x:v>UE découverte</x:v>
      </x:c>
      <x:c r="H42" s="28" t="str">
        <x:v>UED 1.1</x:v>
      </x:c>
      <x:c r="I42" s="28" t="str">
        <x:v>Biodiversité</x:v>
      </x:c>
      <x:c r="J42" s="29" t="n">
        <x:v>15</x:v>
      </x:c>
      <x:c r="K42" s="29" t="n">
        <x:v>15</x:v>
      </x:c>
      <x:c r="L42" s="29" t="n">
        <x:v>0</x:v>
      </x:c>
      <x:c r="M42" s="29" t="n">
        <x:v>0</x:v>
      </x:c>
      <x:c r="N42" s="29" t="n">
        <x:v>15</x:v>
      </x:c>
      <x:c r="O42" s="29" t="n">
        <x:v>1</x:v>
      </x:c>
      <x:c r="P42" s="29" t="n">
        <x:v>2</x:v>
      </x:c>
      <x:c r="Q42" s="29" t="str">
        <x:v>Enseignement</x:v>
      </x:c>
      <x:c r="R42" s="29" t="str">
        <x:v>Arrêté n°1457 du 04/12/2024</x:v>
      </x:c>
      <x:c r="S42" s="29" t="str">
        <x:v>04/12/2024</x:v>
      </x:c>
      <x:c r="T42" s="29" t="n">
        <x:v>5</x:v>
      </x:c>
      <x:c r="U42" s="29" t="str">
        <x:v>Vérifié sur arrêté</x:v>
      </x:c>
      <x:c r="V42" s="29" t="n">
        <x:f>IF(COUNTA(K42:M42)=0,"",SUM(K42:M42))</x:f>
        <x:v>15</x:v>
      </x:c>
      <x:c r="W42" s="29" t="n">
        <x:f>IF(V42="","",V42-J42)</x:f>
        <x:v>0</x:v>
      </x:c>
      <x:c r="X42" s="28" t="str"/>
    </x:row>
    <x:row r="43">
      <x:c r="A43" s="28" t="str">
        <x:v>REG-042</x:v>
      </x:c>
      <x:c r="B43" s="28" t="str">
        <x:v>Cycle 2</x:v>
      </x:c>
      <x:c r="C43" s="28" t="str">
        <x:v>Tronc commun</x:v>
      </x:c>
      <x:c r="D43" s="28" t="str">
        <x:v>1re année</x:v>
      </x:c>
      <x:c r="E43" s="28" t="str">
        <x:v>Sciences forestières (tronc commun)</x:v>
      </x:c>
      <x:c r="F43" s="28" t="str">
        <x:v>S1</x:v>
      </x:c>
      <x:c r="G43" s="28" t="str">
        <x:v>UE transversale</x:v>
      </x:c>
      <x:c r="H43" s="28" t="str">
        <x:v>UET 1.1</x:v>
      </x:c>
      <x:c r="I43" s="28" t="str">
        <x:v>Anglais scientifique</x:v>
      </x:c>
      <x:c r="J43" s="29" t="n">
        <x:v>15</x:v>
      </x:c>
      <x:c r="K43" s="29" t="n">
        <x:v>15</x:v>
      </x:c>
      <x:c r="L43" s="29" t="n">
        <x:v>0</x:v>
      </x:c>
      <x:c r="M43" s="29" t="n">
        <x:v>0</x:v>
      </x:c>
      <x:c r="N43" s="29" t="n">
        <x:v>15</x:v>
      </x:c>
      <x:c r="O43" s="29" t="n">
        <x:v>1</x:v>
      </x:c>
      <x:c r="P43" s="29" t="n">
        <x:v>1</x:v>
      </x:c>
      <x:c r="Q43" s="29" t="str">
        <x:v>Enseignement</x:v>
      </x:c>
      <x:c r="R43" s="29" t="str">
        <x:v>Arrêté n°1457 du 04/12/2024</x:v>
      </x:c>
      <x:c r="S43" s="29" t="str">
        <x:v>04/12/2024</x:v>
      </x:c>
      <x:c r="T43" s="29" t="n">
        <x:v>5</x:v>
      </x:c>
      <x:c r="U43" s="29" t="str">
        <x:v>Vérifié sur arrêté</x:v>
      </x:c>
      <x:c r="V43" s="29" t="n">
        <x:f>IF(COUNTA(K43:M43)=0,"",SUM(K43:M43))</x:f>
        <x:v>15</x:v>
      </x:c>
      <x:c r="W43" s="29" t="n">
        <x:f>IF(V43="","",V43-J43)</x:f>
        <x:v>0</x:v>
      </x:c>
      <x:c r="X43" s="28" t="str"/>
    </x:row>
    <x:row r="44">
      <x:c r="A44" s="28" t="str">
        <x:v>REG-043</x:v>
      </x:c>
      <x:c r="B44" s="28" t="str">
        <x:v>Cycle 2</x:v>
      </x:c>
      <x:c r="C44" s="28" t="str">
        <x:v>Tronc commun</x:v>
      </x:c>
      <x:c r="D44" s="28" t="str">
        <x:v>1re année</x:v>
      </x:c>
      <x:c r="E44" s="28" t="str">
        <x:v>Sciences forestières (tronc commun)</x:v>
      </x:c>
      <x:c r="F44" s="28" t="str">
        <x:v>S2</x:v>
      </x:c>
      <x:c r="G44" s="28" t="str">
        <x:v>UE fondamentale</x:v>
      </x:c>
      <x:c r="H44" s="28" t="str">
        <x:v>UEF 1.1</x:v>
      </x:c>
      <x:c r="I44" s="28" t="str">
        <x:v>Fondements de la sylviculture</x:v>
      </x:c>
      <x:c r="J44" s="29" t="n">
        <x:v>60</x:v>
      </x:c>
      <x:c r="K44" s="29" t="n">
        <x:v>45</x:v>
      </x:c>
      <x:c r="L44" s="29" t="n">
        <x:v>0</x:v>
      </x:c>
      <x:c r="M44" s="29" t="n">
        <x:v>15</x:v>
      </x:c>
      <x:c r="N44" s="29" t="n">
        <x:v>60</x:v>
      </x:c>
      <x:c r="O44" s="29" t="n">
        <x:v>3</x:v>
      </x:c>
      <x:c r="P44" s="29" t="n">
        <x:v>5</x:v>
      </x:c>
      <x:c r="Q44" s="29" t="str">
        <x:v>Enseignement</x:v>
      </x:c>
      <x:c r="R44" s="29" t="str">
        <x:v>Arrêté n°1457 du 04/12/2024</x:v>
      </x:c>
      <x:c r="S44" s="29" t="str">
        <x:v>04/12/2024</x:v>
      </x:c>
      <x:c r="T44" s="29" t="n">
        <x:v>6</x:v>
      </x:c>
      <x:c r="U44" s="29" t="str">
        <x:v>Vérifié sur arrêté</x:v>
      </x:c>
      <x:c r="V44" s="29" t="n">
        <x:f>IF(COUNTA(K44:M44)=0,"",SUM(K44:M44))</x:f>
        <x:v>60</x:v>
      </x:c>
      <x:c r="W44" s="29" t="n">
        <x:f>IF(V44="","",V44-J44)</x:f>
        <x:v>0</x:v>
      </x:c>
      <x:c r="X44" s="28" t="str"/>
    </x:row>
    <x:row r="45">
      <x:c r="A45" s="28" t="str">
        <x:v>REG-044</x:v>
      </x:c>
      <x:c r="B45" s="28" t="str">
        <x:v>Cycle 2</x:v>
      </x:c>
      <x:c r="C45" s="28" t="str">
        <x:v>Tronc commun</x:v>
      </x:c>
      <x:c r="D45" s="28" t="str">
        <x:v>1re année</x:v>
      </x:c>
      <x:c r="E45" s="28" t="str">
        <x:v>Sciences forestières (tronc commun)</x:v>
      </x:c>
      <x:c r="F45" s="28" t="str">
        <x:v>S2</x:v>
      </x:c>
      <x:c r="G45" s="28" t="str">
        <x:v>UE fondamentale</x:v>
      </x:c>
      <x:c r="H45" s="28" t="str">
        <x:v>UEF 1.1</x:v>
      </x:c>
      <x:c r="I45" s="28" t="str">
        <x:v>Dendrologie</x:v>
      </x:c>
      <x:c r="J45" s="29" t="n">
        <x:v>45</x:v>
      </x:c>
      <x:c r="K45" s="29" t="n">
        <x:v>30</x:v>
      </x:c>
      <x:c r="L45" s="29" t="n">
        <x:v>0</x:v>
      </x:c>
      <x:c r="M45" s="29" t="n">
        <x:v>15</x:v>
      </x:c>
      <x:c r="N45" s="29" t="n">
        <x:v>45</x:v>
      </x:c>
      <x:c r="O45" s="29" t="n">
        <x:v>2</x:v>
      </x:c>
      <x:c r="P45" s="29" t="n">
        <x:v>4</x:v>
      </x:c>
      <x:c r="Q45" s="29" t="str">
        <x:v>Enseignement</x:v>
      </x:c>
      <x:c r="R45" s="29" t="str">
        <x:v>Arrêté n°1457 du 04/12/2024</x:v>
      </x:c>
      <x:c r="S45" s="29" t="str">
        <x:v>04/12/2024</x:v>
      </x:c>
      <x:c r="T45" s="29" t="n">
        <x:v>6</x:v>
      </x:c>
      <x:c r="U45" s="29" t="str">
        <x:v>Vérifié sur arrêté</x:v>
      </x:c>
      <x:c r="V45" s="29" t="n">
        <x:f>IF(COUNTA(K45:M45)=0,"",SUM(K45:M45))</x:f>
        <x:v>45</x:v>
      </x:c>
      <x:c r="W45" s="29" t="n">
        <x:f>IF(V45="","",V45-J45)</x:f>
        <x:v>0</x:v>
      </x:c>
      <x:c r="X45" s="28" t="str"/>
    </x:row>
    <x:row r="46">
      <x:c r="A46" s="28" t="str">
        <x:v>REG-045</x:v>
      </x:c>
      <x:c r="B46" s="28" t="str">
        <x:v>Cycle 2</x:v>
      </x:c>
      <x:c r="C46" s="28" t="str">
        <x:v>Tronc commun</x:v>
      </x:c>
      <x:c r="D46" s="28" t="str">
        <x:v>1re année</x:v>
      </x:c>
      <x:c r="E46" s="28" t="str">
        <x:v>Sciences forestières (tronc commun)</x:v>
      </x:c>
      <x:c r="F46" s="28" t="str">
        <x:v>S2</x:v>
      </x:c>
      <x:c r="G46" s="28" t="str">
        <x:v>UE fondamentale</x:v>
      </x:c>
      <x:c r="H46" s="28" t="str">
        <x:v>UEF 1.2</x:v>
      </x:c>
      <x:c r="I46" s="28" t="str">
        <x:v>Hydrologie et aménagement des bassins hydrographiques</x:v>
      </x:c>
      <x:c r="J46" s="29" t="n">
        <x:v>30</x:v>
      </x:c>
      <x:c r="K46" s="29" t="n">
        <x:v>15</x:v>
      </x:c>
      <x:c r="L46" s="29" t="n">
        <x:v>0</x:v>
      </x:c>
      <x:c r="M46" s="29" t="n">
        <x:v>15</x:v>
      </x:c>
      <x:c r="N46" s="29" t="n">
        <x:v>30</x:v>
      </x:c>
      <x:c r="O46" s="29" t="n">
        <x:v>2</x:v>
      </x:c>
      <x:c r="P46" s="29" t="n">
        <x:v>4</x:v>
      </x:c>
      <x:c r="Q46" s="29" t="str">
        <x:v>Enseignement</x:v>
      </x:c>
      <x:c r="R46" s="29" t="str">
        <x:v>Arrêté n°1457 du 04/12/2024</x:v>
      </x:c>
      <x:c r="S46" s="29" t="str">
        <x:v>04/12/2024</x:v>
      </x:c>
      <x:c r="T46" s="29" t="n">
        <x:v>6</x:v>
      </x:c>
      <x:c r="U46" s="29" t="str">
        <x:v>Vérifié sur arrêté</x:v>
      </x:c>
      <x:c r="V46" s="29" t="n">
        <x:f>IF(COUNTA(K46:M46)=0,"",SUM(K46:M46))</x:f>
        <x:v>30</x:v>
      </x:c>
      <x:c r="W46" s="29" t="n">
        <x:f>IF(V46="","",V46-J46)</x:f>
        <x:v>0</x:v>
      </x:c>
      <x:c r="X46" s="28" t="str"/>
    </x:row>
    <x:row r="47">
      <x:c r="A47" s="28" t="str">
        <x:v>REG-046</x:v>
      </x:c>
      <x:c r="B47" s="28" t="str">
        <x:v>Cycle 2</x:v>
      </x:c>
      <x:c r="C47" s="28" t="str">
        <x:v>Tronc commun</x:v>
      </x:c>
      <x:c r="D47" s="28" t="str">
        <x:v>1re année</x:v>
      </x:c>
      <x:c r="E47" s="28" t="str">
        <x:v>Sciences forestières (tronc commun)</x:v>
      </x:c>
      <x:c r="F47" s="28" t="str">
        <x:v>S2</x:v>
      </x:c>
      <x:c r="G47" s="28" t="str">
        <x:v>UE fondamentale</x:v>
      </x:c>
      <x:c r="H47" s="28" t="str">
        <x:v>UEF 1.2</x:v>
      </x:c>
      <x:c r="I47" s="28" t="str">
        <x:v>Biologie des sols</x:v>
      </x:c>
      <x:c r="J47" s="29" t="n">
        <x:v>45</x:v>
      </x:c>
      <x:c r="K47" s="29" t="n">
        <x:v>30</x:v>
      </x:c>
      <x:c r="L47" s="29" t="n">
        <x:v>0</x:v>
      </x:c>
      <x:c r="M47" s="29" t="n">
        <x:v>15</x:v>
      </x:c>
      <x:c r="N47" s="29" t="n">
        <x:v>45</x:v>
      </x:c>
      <x:c r="O47" s="29" t="n">
        <x:v>2</x:v>
      </x:c>
      <x:c r="P47" s="29" t="n">
        <x:v>4</x:v>
      </x:c>
      <x:c r="Q47" s="29" t="str">
        <x:v>Enseignement</x:v>
      </x:c>
      <x:c r="R47" s="29" t="str">
        <x:v>Arrêté n°1457 du 04/12/2024</x:v>
      </x:c>
      <x:c r="S47" s="29" t="str">
        <x:v>04/12/2024</x:v>
      </x:c>
      <x:c r="T47" s="29" t="n">
        <x:v>6</x:v>
      </x:c>
      <x:c r="U47" s="29" t="str">
        <x:v>Vérifié sur arrêté</x:v>
      </x:c>
      <x:c r="V47" s="29" t="n">
        <x:f>IF(COUNTA(K47:M47)=0,"",SUM(K47:M47))</x:f>
        <x:v>45</x:v>
      </x:c>
      <x:c r="W47" s="29" t="n">
        <x:f>IF(V47="","",V47-J47)</x:f>
        <x:v>0</x:v>
      </x:c>
      <x:c r="X47" s="28" t="str"/>
    </x:row>
    <x:row r="48">
      <x:c r="A48" s="28" t="str">
        <x:v>REG-047</x:v>
      </x:c>
      <x:c r="B48" s="28" t="str">
        <x:v>Cycle 2</x:v>
      </x:c>
      <x:c r="C48" s="28" t="str">
        <x:v>Tronc commun</x:v>
      </x:c>
      <x:c r="D48" s="28" t="str">
        <x:v>1re année</x:v>
      </x:c>
      <x:c r="E48" s="28" t="str">
        <x:v>Sciences forestières (tronc commun)</x:v>
      </x:c>
      <x:c r="F48" s="28" t="str">
        <x:v>S2</x:v>
      </x:c>
      <x:c r="G48" s="28" t="str">
        <x:v>UE fondamentale</x:v>
      </x:c>
      <x:c r="H48" s="28" t="str">
        <x:v>UEF 1.2</x:v>
      </x:c>
      <x:c r="I48" s="28" t="str">
        <x:v>Évaluation des ressources génétiques</x:v>
      </x:c>
      <x:c r="J48" s="29" t="n">
        <x:v>30</x:v>
      </x:c>
      <x:c r="K48" s="29" t="n">
        <x:v>15</x:v>
      </x:c>
      <x:c r="L48" s="29" t="n">
        <x:v>0</x:v>
      </x:c>
      <x:c r="M48" s="29" t="n">
        <x:v>15</x:v>
      </x:c>
      <x:c r="N48" s="29" t="n">
        <x:v>30</x:v>
      </x:c>
      <x:c r="O48" s="29" t="n">
        <x:v>2</x:v>
      </x:c>
      <x:c r="P48" s="29" t="n">
        <x:v>4</x:v>
      </x:c>
      <x:c r="Q48" s="29" t="str">
        <x:v>Enseignement</x:v>
      </x:c>
      <x:c r="R48" s="29" t="str">
        <x:v>Arrêté n°1457 du 04/12/2024</x:v>
      </x:c>
      <x:c r="S48" s="29" t="str">
        <x:v>04/12/2024</x:v>
      </x:c>
      <x:c r="T48" s="29" t="n">
        <x:v>6</x:v>
      </x:c>
      <x:c r="U48" s="29" t="str">
        <x:v>Vérifié sur arrêté</x:v>
      </x:c>
      <x:c r="V48" s="29" t="n">
        <x:f>IF(COUNTA(K48:M48)=0,"",SUM(K48:M48))</x:f>
        <x:v>30</x:v>
      </x:c>
      <x:c r="W48" s="29" t="n">
        <x:f>IF(V48="","",V48-J48)</x:f>
        <x:v>0</x:v>
      </x:c>
      <x:c r="X48" s="28" t="str"/>
    </x:row>
    <x:row r="49">
      <x:c r="A49" s="28" t="str">
        <x:v>REG-048</x:v>
      </x:c>
      <x:c r="B49" s="28" t="str">
        <x:v>Cycle 2</x:v>
      </x:c>
      <x:c r="C49" s="28" t="str">
        <x:v>Tronc commun</x:v>
      </x:c>
      <x:c r="D49" s="28" t="str">
        <x:v>1re année</x:v>
      </x:c>
      <x:c r="E49" s="28" t="str">
        <x:v>Sciences forestières (tronc commun)</x:v>
      </x:c>
      <x:c r="F49" s="28" t="str">
        <x:v>S2</x:v>
      </x:c>
      <x:c r="G49" s="28" t="str">
        <x:v>UE méthodologique</x:v>
      </x:c>
      <x:c r="H49" s="28" t="str">
        <x:v>UEM 1.1</x:v>
      </x:c>
      <x:c r="I49" s="28" t="str">
        <x:v>Biostatistique 2</x:v>
      </x:c>
      <x:c r="J49" s="29" t="n">
        <x:v>45</x:v>
      </x:c>
      <x:c r="K49" s="29" t="n">
        <x:v>15</x:v>
      </x:c>
      <x:c r="L49" s="29" t="n">
        <x:v>30</x:v>
      </x:c>
      <x:c r="M49" s="29" t="n">
        <x:v>0</x:v>
      </x:c>
      <x:c r="N49" s="29" t="n">
        <x:v>45</x:v>
      </x:c>
      <x:c r="O49" s="29" t="n">
        <x:v>1</x:v>
      </x:c>
      <x:c r="P49" s="29" t="n">
        <x:v>2</x:v>
      </x:c>
      <x:c r="Q49" s="29" t="str">
        <x:v>Enseignement</x:v>
      </x:c>
      <x:c r="R49" s="29" t="str">
        <x:v>Arrêté n°1457 du 04/12/2024</x:v>
      </x:c>
      <x:c r="S49" s="29" t="str">
        <x:v>04/12/2024</x:v>
      </x:c>
      <x:c r="T49" s="29" t="n">
        <x:v>6</x:v>
      </x:c>
      <x:c r="U49" s="29" t="str">
        <x:v>Vérifié sur arrêté</x:v>
      </x:c>
      <x:c r="V49" s="29" t="n">
        <x:f>IF(COUNTA(K49:M49)=0,"",SUM(K49:M49))</x:f>
        <x:v>45</x:v>
      </x:c>
      <x:c r="W49" s="29" t="n">
        <x:f>IF(V49="","",V49-J49)</x:f>
        <x:v>0</x:v>
      </x:c>
      <x:c r="X49" s="28" t="str"/>
    </x:row>
    <x:row r="50">
      <x:c r="A50" s="28" t="str">
        <x:v>REG-049</x:v>
      </x:c>
      <x:c r="B50" s="28" t="str">
        <x:v>Cycle 2</x:v>
      </x:c>
      <x:c r="C50" s="28" t="str">
        <x:v>Tronc commun</x:v>
      </x:c>
      <x:c r="D50" s="28" t="str">
        <x:v>1re année</x:v>
      </x:c>
      <x:c r="E50" s="28" t="str">
        <x:v>Sciences forestières (tronc commun)</x:v>
      </x:c>
      <x:c r="F50" s="28" t="str">
        <x:v>S2</x:v>
      </x:c>
      <x:c r="G50" s="28" t="str">
        <x:v>UE méthodologique</x:v>
      </x:c>
      <x:c r="H50" s="28" t="str">
        <x:v>UEM 1.1</x:v>
      </x:c>
      <x:c r="I50" s="28" t="str">
        <x:v>Télédétection</x:v>
      </x:c>
      <x:c r="J50" s="29" t="n">
        <x:v>45</x:v>
      </x:c>
      <x:c r="K50" s="29" t="n">
        <x:v>15</x:v>
      </x:c>
      <x:c r="L50" s="29" t="n">
        <x:v>0</x:v>
      </x:c>
      <x:c r="M50" s="29" t="n">
        <x:v>30</x:v>
      </x:c>
      <x:c r="N50" s="29" t="n">
        <x:v>45</x:v>
      </x:c>
      <x:c r="O50" s="29" t="n">
        <x:v>1</x:v>
      </x:c>
      <x:c r="P50" s="29" t="n">
        <x:v>2</x:v>
      </x:c>
      <x:c r="Q50" s="29" t="str">
        <x:v>Enseignement</x:v>
      </x:c>
      <x:c r="R50" s="29" t="str">
        <x:v>Arrêté n°1457 du 04/12/2024</x:v>
      </x:c>
      <x:c r="S50" s="29" t="str">
        <x:v>04/12/2024</x:v>
      </x:c>
      <x:c r="T50" s="29" t="n">
        <x:v>6</x:v>
      </x:c>
      <x:c r="U50" s="29" t="str">
        <x:v>Vérifié sur arrêté</x:v>
      </x:c>
      <x:c r="V50" s="29" t="n">
        <x:f>IF(COUNTA(K50:M50)=0,"",SUM(K50:M50))</x:f>
        <x:v>45</x:v>
      </x:c>
      <x:c r="W50" s="29" t="n">
        <x:f>IF(V50="","",V50-J50)</x:f>
        <x:v>0</x:v>
      </x:c>
      <x:c r="X50" s="28" t="str"/>
    </x:row>
    <x:row r="51">
      <x:c r="A51" s="28" t="str">
        <x:v>REG-050</x:v>
      </x:c>
      <x:c r="B51" s="28" t="str">
        <x:v>Cycle 2</x:v>
      </x:c>
      <x:c r="C51" s="28" t="str">
        <x:v>Tronc commun</x:v>
      </x:c>
      <x:c r="D51" s="28" t="str">
        <x:v>1re année</x:v>
      </x:c>
      <x:c r="E51" s="28" t="str">
        <x:v>Sciences forestières (tronc commun)</x:v>
      </x:c>
      <x:c r="F51" s="28" t="str">
        <x:v>S2</x:v>
      </x:c>
      <x:c r="G51" s="28" t="str">
        <x:v>UE méthodologique</x:v>
      </x:c>
      <x:c r="H51" s="28" t="str">
        <x:v>UEM 1.1</x:v>
      </x:c>
      <x:c r="I51" s="28" t="str">
        <x:v>Méthodes d’inventaires de la flore</x:v>
      </x:c>
      <x:c r="J51" s="29" t="n">
        <x:v>30</x:v>
      </x:c>
      <x:c r="K51" s="29" t="n">
        <x:v>15</x:v>
      </x:c>
      <x:c r="L51" s="29" t="n">
        <x:v>0</x:v>
      </x:c>
      <x:c r="M51" s="29" t="n">
        <x:v>15</x:v>
      </x:c>
      <x:c r="N51" s="29" t="n">
        <x:v>30</x:v>
      </x:c>
      <x:c r="O51" s="29" t="n">
        <x:v>1</x:v>
      </x:c>
      <x:c r="P51" s="29" t="n">
        <x:v>2</x:v>
      </x:c>
      <x:c r="Q51" s="29" t="str">
        <x:v>Enseignement</x:v>
      </x:c>
      <x:c r="R51" s="29" t="str">
        <x:v>Arrêté n°1457 du 04/12/2024</x:v>
      </x:c>
      <x:c r="S51" s="29" t="str">
        <x:v>04/12/2024</x:v>
      </x:c>
      <x:c r="T51" s="29" t="n">
        <x:v>6</x:v>
      </x:c>
      <x:c r="U51" s="29" t="str">
        <x:v>Vérifié sur arrêté</x:v>
      </x:c>
      <x:c r="V51" s="29" t="n">
        <x:f>IF(COUNTA(K51:M51)=0,"",SUM(K51:M51))</x:f>
        <x:v>30</x:v>
      </x:c>
      <x:c r="W51" s="29" t="n">
        <x:f>IF(V51="","",V51-J51)</x:f>
        <x:v>0</x:v>
      </x:c>
      <x:c r="X51" s="28" t="str"/>
    </x:row>
    <x:row r="52">
      <x:c r="A52" s="28" t="str">
        <x:v>REG-051</x:v>
      </x:c>
      <x:c r="B52" s="28" t="str">
        <x:v>Cycle 2</x:v>
      </x:c>
      <x:c r="C52" s="28" t="str">
        <x:v>Tronc commun</x:v>
      </x:c>
      <x:c r="D52" s="28" t="str">
        <x:v>1re année</x:v>
      </x:c>
      <x:c r="E52" s="28" t="str">
        <x:v>Sciences forestières (tronc commun)</x:v>
      </x:c>
      <x:c r="F52" s="28" t="str">
        <x:v>S2</x:v>
      </x:c>
      <x:c r="G52" s="28" t="str">
        <x:v>UE découverte</x:v>
      </x:c>
      <x:c r="H52" s="28" t="str">
        <x:v>UED 1.1</x:v>
      </x:c>
      <x:c r="I52" s="28" t="str">
        <x:v>Développement durable</x:v>
      </x:c>
      <x:c r="J52" s="29" t="n">
        <x:v>15</x:v>
      </x:c>
      <x:c r="K52" s="29" t="n">
        <x:v>15</x:v>
      </x:c>
      <x:c r="L52" s="29" t="n">
        <x:v>0</x:v>
      </x:c>
      <x:c r="M52" s="29" t="n">
        <x:v>0</x:v>
      </x:c>
      <x:c r="N52" s="29" t="n">
        <x:v>15</x:v>
      </x:c>
      <x:c r="O52" s="29" t="n">
        <x:v>1</x:v>
      </x:c>
      <x:c r="P52" s="29" t="n">
        <x:v>1</x:v>
      </x:c>
      <x:c r="Q52" s="29" t="str">
        <x:v>Enseignement</x:v>
      </x:c>
      <x:c r="R52" s="29" t="str">
        <x:v>Arrêté n°1457 du 04/12/2024</x:v>
      </x:c>
      <x:c r="S52" s="29" t="str">
        <x:v>04/12/2024</x:v>
      </x:c>
      <x:c r="T52" s="29" t="n">
        <x:v>6</x:v>
      </x:c>
      <x:c r="U52" s="29" t="str">
        <x:v>Vérifié sur arrêté</x:v>
      </x:c>
      <x:c r="V52" s="29" t="n">
        <x:f>IF(COUNTA(K52:M52)=0,"",SUM(K52:M52))</x:f>
        <x:v>15</x:v>
      </x:c>
      <x:c r="W52" s="29" t="n">
        <x:f>IF(V52="","",V52-J52)</x:f>
        <x:v>0</x:v>
      </x:c>
      <x:c r="X52" s="28" t="str"/>
    </x:row>
    <x:row r="53">
      <x:c r="A53" s="28" t="str">
        <x:v>REG-052</x:v>
      </x:c>
      <x:c r="B53" s="28" t="str">
        <x:v>Cycle 2</x:v>
      </x:c>
      <x:c r="C53" s="28" t="str">
        <x:v>Tronc commun</x:v>
      </x:c>
      <x:c r="D53" s="28" t="str">
        <x:v>1re année</x:v>
      </x:c>
      <x:c r="E53" s="28" t="str">
        <x:v>Sciences forestières (tronc commun)</x:v>
      </x:c>
      <x:c r="F53" s="28" t="str">
        <x:v>S2</x:v>
      </x:c>
      <x:c r="G53" s="28" t="str">
        <x:v>UE découverte</x:v>
      </x:c>
      <x:c r="H53" s="28" t="str">
        <x:v>UED 1.1</x:v>
      </x:c>
      <x:c r="I53" s="28" t="str">
        <x:v>Services écosystémiques</x:v>
      </x:c>
      <x:c r="J53" s="29" t="n">
        <x:v>15</x:v>
      </x:c>
      <x:c r="K53" s="29" t="n">
        <x:v>15</x:v>
      </x:c>
      <x:c r="L53" s="29" t="n">
        <x:v>0</x:v>
      </x:c>
      <x:c r="M53" s="29" t="n">
        <x:v>0</x:v>
      </x:c>
      <x:c r="N53" s="29" t="n">
        <x:v>15</x:v>
      </x:c>
      <x:c r="O53" s="29" t="n">
        <x:v>1</x:v>
      </x:c>
      <x:c r="P53" s="29" t="n">
        <x:v>1</x:v>
      </x:c>
      <x:c r="Q53" s="29" t="str">
        <x:v>Enseignement</x:v>
      </x:c>
      <x:c r="R53" s="29" t="str">
        <x:v>Arrêté n°1457 du 04/12/2024</x:v>
      </x:c>
      <x:c r="S53" s="29" t="str">
        <x:v>04/12/2024</x:v>
      </x:c>
      <x:c r="T53" s="29" t="n">
        <x:v>6</x:v>
      </x:c>
      <x:c r="U53" s="29" t="str">
        <x:v>Vérifié sur arrêté</x:v>
      </x:c>
      <x:c r="V53" s="29" t="n">
        <x:f>IF(COUNTA(K53:M53)=0,"",SUM(K53:M53))</x:f>
        <x:v>15</x:v>
      </x:c>
      <x:c r="W53" s="29" t="n">
        <x:f>IF(V53="","",V53-J53)</x:f>
        <x:v>0</x:v>
      </x:c>
      <x:c r="X53" s="28" t="str"/>
    </x:row>
    <x:row r="54">
      <x:c r="A54" s="28" t="str">
        <x:v>REG-053</x:v>
      </x:c>
      <x:c r="B54" s="28" t="str">
        <x:v>Cycle 2</x:v>
      </x:c>
      <x:c r="C54" s="28" t="str">
        <x:v>Tronc commun</x:v>
      </x:c>
      <x:c r="D54" s="28" t="str">
        <x:v>1re année</x:v>
      </x:c>
      <x:c r="E54" s="28" t="str">
        <x:v>Sciences forestières (tronc commun)</x:v>
      </x:c>
      <x:c r="F54" s="28" t="str">
        <x:v>S2</x:v>
      </x:c>
      <x:c r="G54" s="28" t="str">
        <x:v>UE transversale</x:v>
      </x:c>
      <x:c r="H54" s="28" t="str">
        <x:v>UET 1.1</x:v>
      </x:c>
      <x:c r="I54" s="28" t="str">
        <x:v>Anglais scientifique</x:v>
      </x:c>
      <x:c r="J54" s="29" t="n">
        <x:v>15</x:v>
      </x:c>
      <x:c r="K54" s="29" t="n">
        <x:v>15</x:v>
      </x:c>
      <x:c r="L54" s="29" t="n">
        <x:v>0</x:v>
      </x:c>
      <x:c r="M54" s="29" t="n">
        <x:v>0</x:v>
      </x:c>
      <x:c r="N54" s="29" t="n">
        <x:v>15</x:v>
      </x:c>
      <x:c r="O54" s="29" t="n">
        <x:v>1</x:v>
      </x:c>
      <x:c r="P54" s="29" t="n">
        <x:v>1</x:v>
      </x:c>
      <x:c r="Q54" s="29" t="str">
        <x:v>Enseignement</x:v>
      </x:c>
      <x:c r="R54" s="29" t="str">
        <x:v>Arrêté n°1457 du 04/12/2024</x:v>
      </x:c>
      <x:c r="S54" s="29" t="str">
        <x:v>04/12/2024</x:v>
      </x:c>
      <x:c r="T54" s="29" t="n">
        <x:v>6</x:v>
      </x:c>
      <x:c r="U54" s="29" t="str">
        <x:v>Vérifié sur arrêté</x:v>
      </x:c>
      <x:c r="V54" s="29" t="n">
        <x:f>IF(COUNTA(K54:M54)=0,"",SUM(K54:M54))</x:f>
        <x:v>15</x:v>
      </x:c>
      <x:c r="W54" s="29" t="n">
        <x:f>IF(V54="","",V54-J54)</x:f>
        <x:v>0</x:v>
      </x:c>
      <x:c r="X54" s="28" t="str"/>
    </x:row>
    <x:row r="55">
      <x:c r="A55" s="28" t="str">
        <x:v>REG-054</x:v>
      </x:c>
      <x:c r="B55" s="28" t="str">
        <x:v>Cycle 2</x:v>
      </x:c>
      <x:c r="C55" s="28" t="str">
        <x:v>Spécialité</x:v>
      </x:c>
      <x:c r="D55" s="28" t="str">
        <x:v>2e année</x:v>
      </x:c>
      <x:c r="E55" s="28" t="str">
        <x:v>Gestion des forêts</x:v>
      </x:c>
      <x:c r="F55" s="28" t="str">
        <x:v>S3</x:v>
      </x:c>
      <x:c r="G55" s="28" t="str">
        <x:v>UE fondamentale</x:v>
      </x:c>
      <x:c r="H55" s="28" t="str">
        <x:v>UEF 1.1</x:v>
      </x:c>
      <x:c r="I55" s="28" t="str">
        <x:v>Sylviculture générale et appliquée</x:v>
      </x:c>
      <x:c r="J55" s="29" t="n">
        <x:v>60</x:v>
      </x:c>
      <x:c r="K55" s="29" t="n">
        <x:v>45</x:v>
      </x:c>
      <x:c r="L55" s="29" t="n">
        <x:v>0</x:v>
      </x:c>
      <x:c r="M55" s="29" t="n">
        <x:v>15</x:v>
      </x:c>
      <x:c r="N55" s="29" t="n">
        <x:v>60</x:v>
      </x:c>
      <x:c r="O55" s="29" t="n">
        <x:v>3</x:v>
      </x:c>
      <x:c r="P55" s="29" t="n">
        <x:v>5</x:v>
      </x:c>
      <x:c r="Q55" s="29" t="str">
        <x:v>Enseignement</x:v>
      </x:c>
      <x:c r="R55" s="29" t="str">
        <x:v>Arrêté n°1459 du 04/12/2024</x:v>
      </x:c>
      <x:c r="S55" s="29" t="str">
        <x:v>04/12/2024</x:v>
      </x:c>
      <x:c r="T55" s="29" t="n">
        <x:v>7</x:v>
      </x:c>
      <x:c r="U55" s="29" t="str">
        <x:v>Vérifié sur arrêté</x:v>
      </x:c>
      <x:c r="V55" s="29" t="n">
        <x:f>IF(COUNTA(K55:M55)=0,"",SUM(K55:M55))</x:f>
        <x:v>60</x:v>
      </x:c>
      <x:c r="W55" s="29" t="n">
        <x:f>IF(V55="","",V55-J55)</x:f>
        <x:v>0</x:v>
      </x:c>
      <x:c r="X55" s="28" t="str"/>
    </x:row>
    <x:row r="56">
      <x:c r="A56" s="28" t="str">
        <x:v>REG-055</x:v>
      </x:c>
      <x:c r="B56" s="28" t="str">
        <x:v>Cycle 2</x:v>
      </x:c>
      <x:c r="C56" s="28" t="str">
        <x:v>Spécialité</x:v>
      </x:c>
      <x:c r="D56" s="28" t="str">
        <x:v>2e année</x:v>
      </x:c>
      <x:c r="E56" s="28" t="str">
        <x:v>Gestion des forêts</x:v>
      </x:c>
      <x:c r="F56" s="28" t="str">
        <x:v>S3</x:v>
      </x:c>
      <x:c r="G56" s="28" t="str">
        <x:v>UE fondamentale</x:v>
      </x:c>
      <x:c r="H56" s="28" t="str">
        <x:v>UEF 1.1</x:v>
      </x:c>
      <x:c r="I56" s="28" t="str">
        <x:v>Anatomie et technologie du bois</x:v>
      </x:c>
      <x:c r="J56" s="29" t="n">
        <x:v>60</x:v>
      </x:c>
      <x:c r="K56" s="29" t="n">
        <x:v>45</x:v>
      </x:c>
      <x:c r="L56" s="29" t="n">
        <x:v>0</x:v>
      </x:c>
      <x:c r="M56" s="29" t="n">
        <x:v>15</x:v>
      </x:c>
      <x:c r="N56" s="29" t="n">
        <x:v>60</x:v>
      </x:c>
      <x:c r="O56" s="29" t="n">
        <x:v>3</x:v>
      </x:c>
      <x:c r="P56" s="29" t="n">
        <x:v>5</x:v>
      </x:c>
      <x:c r="Q56" s="29" t="str">
        <x:v>Enseignement</x:v>
      </x:c>
      <x:c r="R56" s="29" t="str">
        <x:v>Arrêté n°1459 du 04/12/2024</x:v>
      </x:c>
      <x:c r="S56" s="29" t="str">
        <x:v>04/12/2024</x:v>
      </x:c>
      <x:c r="T56" s="29" t="n">
        <x:v>7</x:v>
      </x:c>
      <x:c r="U56" s="29" t="str">
        <x:v>Vérifié sur arrêté</x:v>
      </x:c>
      <x:c r="V56" s="29" t="n">
        <x:f>IF(COUNTA(K56:M56)=0,"",SUM(K56:M56))</x:f>
        <x:v>60</x:v>
      </x:c>
      <x:c r="W56" s="29" t="n">
        <x:f>IF(V56="","",V56-J56)</x:f>
        <x:v>0</x:v>
      </x:c>
      <x:c r="X56" s="28" t="str"/>
    </x:row>
    <x:row r="57">
      <x:c r="A57" s="28" t="str">
        <x:v>REG-056</x:v>
      </x:c>
      <x:c r="B57" s="28" t="str">
        <x:v>Cycle 2</x:v>
      </x:c>
      <x:c r="C57" s="28" t="str">
        <x:v>Spécialité</x:v>
      </x:c>
      <x:c r="D57" s="28" t="str">
        <x:v>2e année</x:v>
      </x:c>
      <x:c r="E57" s="28" t="str">
        <x:v>Gestion des forêts</x:v>
      </x:c>
      <x:c r="F57" s="28" t="str">
        <x:v>S3</x:v>
      </x:c>
      <x:c r="G57" s="28" t="str">
        <x:v>UE fondamentale</x:v>
      </x:c>
      <x:c r="H57" s="28" t="str">
        <x:v>UEF 1.2</x:v>
      </x:c>
      <x:c r="I57" s="28" t="str">
        <x:v>Défense et restauration des sols (DRS)</x:v>
      </x:c>
      <x:c r="J57" s="29" t="n">
        <x:v>45</x:v>
      </x:c>
      <x:c r="K57" s="29" t="n">
        <x:v>30</x:v>
      </x:c>
      <x:c r="L57" s="29" t="n">
        <x:v>0</x:v>
      </x:c>
      <x:c r="M57" s="29" t="n">
        <x:v>15</x:v>
      </x:c>
      <x:c r="N57" s="29" t="n">
        <x:v>45</x:v>
      </x:c>
      <x:c r="O57" s="29" t="n">
        <x:v>2</x:v>
      </x:c>
      <x:c r="P57" s="29" t="n">
        <x:v>4</x:v>
      </x:c>
      <x:c r="Q57" s="29" t="str">
        <x:v>Enseignement</x:v>
      </x:c>
      <x:c r="R57" s="29" t="str">
        <x:v>Arrêté n°1459 du 04/12/2024</x:v>
      </x:c>
      <x:c r="S57" s="29" t="str">
        <x:v>04/12/2024</x:v>
      </x:c>
      <x:c r="T57" s="29" t="n">
        <x:v>7</x:v>
      </x:c>
      <x:c r="U57" s="29" t="str">
        <x:v>Vérifié sur arrêté</x:v>
      </x:c>
      <x:c r="V57" s="29" t="n">
        <x:f>IF(COUNTA(K57:M57)=0,"",SUM(K57:M57))</x:f>
        <x:v>45</x:v>
      </x:c>
      <x:c r="W57" s="29" t="n">
        <x:f>IF(V57="","",V57-J57)</x:f>
        <x:v>0</x:v>
      </x:c>
      <x:c r="X57" s="28" t="str"/>
    </x:row>
    <x:row r="58">
      <x:c r="A58" s="28" t="str">
        <x:v>REG-057</x:v>
      </x:c>
      <x:c r="B58" s="28" t="str">
        <x:v>Cycle 2</x:v>
      </x:c>
      <x:c r="C58" s="28" t="str">
        <x:v>Spécialité</x:v>
      </x:c>
      <x:c r="D58" s="28" t="str">
        <x:v>2e année</x:v>
      </x:c>
      <x:c r="E58" s="28" t="str">
        <x:v>Gestion des forêts</x:v>
      </x:c>
      <x:c r="F58" s="28" t="str">
        <x:v>S3</x:v>
      </x:c>
      <x:c r="G58" s="28" t="str">
        <x:v>UE fondamentale</x:v>
      </x:c>
      <x:c r="H58" s="28" t="str">
        <x:v>UEF 1.2</x:v>
      </x:c>
      <x:c r="I58" s="28" t="str">
        <x:v>Zoologie forestière</x:v>
      </x:c>
      <x:c r="J58" s="29" t="n">
        <x:v>45</x:v>
      </x:c>
      <x:c r="K58" s="29" t="n">
        <x:v>30</x:v>
      </x:c>
      <x:c r="L58" s="29" t="n">
        <x:v>0</x:v>
      </x:c>
      <x:c r="M58" s="29" t="n">
        <x:v>15</x:v>
      </x:c>
      <x:c r="N58" s="29" t="n">
        <x:v>45</x:v>
      </x:c>
      <x:c r="O58" s="29" t="n">
        <x:v>2</x:v>
      </x:c>
      <x:c r="P58" s="29" t="n">
        <x:v>4</x:v>
      </x:c>
      <x:c r="Q58" s="29" t="str">
        <x:v>Enseignement</x:v>
      </x:c>
      <x:c r="R58" s="29" t="str">
        <x:v>Arrêté n°1459 du 04/12/2024</x:v>
      </x:c>
      <x:c r="S58" s="29" t="str">
        <x:v>04/12/2024</x:v>
      </x:c>
      <x:c r="T58" s="29" t="n">
        <x:v>7</x:v>
      </x:c>
      <x:c r="U58" s="29" t="str">
        <x:v>Vérifié sur arrêté</x:v>
      </x:c>
      <x:c r="V58" s="29" t="n">
        <x:f>IF(COUNTA(K58:M58)=0,"",SUM(K58:M58))</x:f>
        <x:v>45</x:v>
      </x:c>
      <x:c r="W58" s="29" t="n">
        <x:f>IF(V58="","",V58-J58)</x:f>
        <x:v>0</x:v>
      </x:c>
      <x:c r="X58" s="28" t="str"/>
    </x:row>
    <x:row r="59">
      <x:c r="A59" s="28" t="str">
        <x:v>REG-058</x:v>
      </x:c>
      <x:c r="B59" s="28" t="str">
        <x:v>Cycle 2</x:v>
      </x:c>
      <x:c r="C59" s="28" t="str">
        <x:v>Spécialité</x:v>
      </x:c>
      <x:c r="D59" s="28" t="str">
        <x:v>2e année</x:v>
      </x:c>
      <x:c r="E59" s="28" t="str">
        <x:v>Gestion des forêts</x:v>
      </x:c>
      <x:c r="F59" s="28" t="str">
        <x:v>S3</x:v>
      </x:c>
      <x:c r="G59" s="28" t="str">
        <x:v>UE méthodologique</x:v>
      </x:c>
      <x:c r="H59" s="28" t="str">
        <x:v>UEM 1.1</x:v>
      </x:c>
      <x:c r="I59" s="28" t="str">
        <x:v>Géomatique appliquée à la foresterie</x:v>
      </x:c>
      <x:c r="J59" s="29" t="n">
        <x:v>45</x:v>
      </x:c>
      <x:c r="K59" s="29" t="n">
        <x:v>15</x:v>
      </x:c>
      <x:c r="L59" s="29" t="n">
        <x:v>0</x:v>
      </x:c>
      <x:c r="M59" s="29" t="n">
        <x:v>30</x:v>
      </x:c>
      <x:c r="N59" s="29" t="n">
        <x:v>45</x:v>
      </x:c>
      <x:c r="O59" s="29" t="n">
        <x:v>2</x:v>
      </x:c>
      <x:c r="P59" s="29" t="n">
        <x:v>4</x:v>
      </x:c>
      <x:c r="Q59" s="29" t="str">
        <x:v>Enseignement</x:v>
      </x:c>
      <x:c r="R59" s="29" t="str">
        <x:v>Arrêté n°1459 du 04/12/2024</x:v>
      </x:c>
      <x:c r="S59" s="29" t="str">
        <x:v>04/12/2024</x:v>
      </x:c>
      <x:c r="T59" s="29" t="n">
        <x:v>7</x:v>
      </x:c>
      <x:c r="U59" s="29" t="str">
        <x:v>Vérifié sur arrêté</x:v>
      </x:c>
      <x:c r="V59" s="29" t="n">
        <x:f>IF(COUNTA(K59:M59)=0,"",SUM(K59:M59))</x:f>
        <x:v>45</x:v>
      </x:c>
      <x:c r="W59" s="29" t="n">
        <x:f>IF(V59="","",V59-J59)</x:f>
        <x:v>0</x:v>
      </x:c>
      <x:c r="X59" s="28" t="str"/>
    </x:row>
    <x:row r="60">
      <x:c r="A60" s="28" t="str">
        <x:v>REG-059</x:v>
      </x:c>
      <x:c r="B60" s="28" t="str">
        <x:v>Cycle 2</x:v>
      </x:c>
      <x:c r="C60" s="28" t="str">
        <x:v>Spécialité</x:v>
      </x:c>
      <x:c r="D60" s="28" t="str">
        <x:v>2e année</x:v>
      </x:c>
      <x:c r="E60" s="28" t="str">
        <x:v>Gestion des forêts</x:v>
      </x:c>
      <x:c r="F60" s="28" t="str">
        <x:v>S3</x:v>
      </x:c>
      <x:c r="G60" s="28" t="str">
        <x:v>UE méthodologique</x:v>
      </x:c>
      <x:c r="H60" s="28" t="str">
        <x:v>UEM 1.1</x:v>
      </x:c>
      <x:c r="I60" s="28" t="str">
        <x:v>Expérimentation forestière</x:v>
      </x:c>
      <x:c r="J60" s="29" t="n">
        <x:v>45</x:v>
      </x:c>
      <x:c r="K60" s="29" t="n">
        <x:v>15</x:v>
      </x:c>
      <x:c r="L60" s="29" t="n">
        <x:v>0</x:v>
      </x:c>
      <x:c r="M60" s="29" t="n">
        <x:v>30</x:v>
      </x:c>
      <x:c r="N60" s="29" t="n">
        <x:v>45</x:v>
      </x:c>
      <x:c r="O60" s="29" t="n">
        <x:v>2</x:v>
      </x:c>
      <x:c r="P60" s="29" t="n">
        <x:v>5</x:v>
      </x:c>
      <x:c r="Q60" s="29" t="str">
        <x:v>Enseignement</x:v>
      </x:c>
      <x:c r="R60" s="29" t="str">
        <x:v>Arrêté n°1459 du 04/12/2024</x:v>
      </x:c>
      <x:c r="S60" s="29" t="str">
        <x:v>04/12/2024</x:v>
      </x:c>
      <x:c r="T60" s="29" t="n">
        <x:v>7</x:v>
      </x:c>
      <x:c r="U60" s="29" t="str">
        <x:v>Vérifié sur arrêté</x:v>
      </x:c>
      <x:c r="V60" s="29" t="n">
        <x:f>IF(COUNTA(K60:M60)=0,"",SUM(K60:M60))</x:f>
        <x:v>45</x:v>
      </x:c>
      <x:c r="W60" s="29" t="n">
        <x:f>IF(V60="","",V60-J60)</x:f>
        <x:v>0</x:v>
      </x:c>
      <x:c r="X60" s="28" t="str"/>
    </x:row>
    <x:row r="61">
      <x:c r="A61" s="28" t="str">
        <x:v>REG-060</x:v>
      </x:c>
      <x:c r="B61" s="28" t="str">
        <x:v>Cycle 2</x:v>
      </x:c>
      <x:c r="C61" s="28" t="str">
        <x:v>Spécialité</x:v>
      </x:c>
      <x:c r="D61" s="28" t="str">
        <x:v>2e année</x:v>
      </x:c>
      <x:c r="E61" s="28" t="str">
        <x:v>Gestion des forêts</x:v>
      </x:c>
      <x:c r="F61" s="28" t="str">
        <x:v>S3</x:v>
      </x:c>
      <x:c r="G61" s="28" t="str">
        <x:v>UE découverte</x:v>
      </x:c>
      <x:c r="H61" s="28" t="str">
        <x:v>UED 1.1</x:v>
      </x:c>
      <x:c r="I61" s="28" t="str">
        <x:v>Agroforesterie</x:v>
      </x:c>
      <x:c r="J61" s="29" t="n">
        <x:v>30</x:v>
      </x:c>
      <x:c r="K61" s="29" t="n">
        <x:v>15</x:v>
      </x:c>
      <x:c r="L61" s="29" t="n">
        <x:v>15</x:v>
      </x:c>
      <x:c r="M61" s="29" t="n">
        <x:v>0</x:v>
      </x:c>
      <x:c r="N61" s="29" t="n">
        <x:v>30</x:v>
      </x:c>
      <x:c r="O61" s="29" t="n">
        <x:v>1</x:v>
      </x:c>
      <x:c r="P61" s="29" t="n">
        <x:v>1</x:v>
      </x:c>
      <x:c r="Q61" s="29" t="str">
        <x:v>Enseignement</x:v>
      </x:c>
      <x:c r="R61" s="29" t="str">
        <x:v>Arrêté n°1459 du 04/12/2024</x:v>
      </x:c>
      <x:c r="S61" s="29" t="str">
        <x:v>04/12/2024</x:v>
      </x:c>
      <x:c r="T61" s="29" t="n">
        <x:v>7</x:v>
      </x:c>
      <x:c r="U61" s="29" t="str">
        <x:v>Vérifié sur arrêté</x:v>
      </x:c>
      <x:c r="V61" s="29" t="n">
        <x:f>IF(COUNTA(K61:M61)=0,"",SUM(K61:M61))</x:f>
        <x:v>30</x:v>
      </x:c>
      <x:c r="W61" s="29" t="n">
        <x:f>IF(V61="","",V61-J61)</x:f>
        <x:v>0</x:v>
      </x:c>
      <x:c r="X61" s="28" t="str"/>
    </x:row>
    <x:row r="62">
      <x:c r="A62" s="28" t="str">
        <x:v>REG-061</x:v>
      </x:c>
      <x:c r="B62" s="28" t="str">
        <x:v>Cycle 2</x:v>
      </x:c>
      <x:c r="C62" s="28" t="str">
        <x:v>Spécialité</x:v>
      </x:c>
      <x:c r="D62" s="28" t="str">
        <x:v>2e année</x:v>
      </x:c>
      <x:c r="E62" s="28" t="str">
        <x:v>Gestion des forêts</x:v>
      </x:c>
      <x:c r="F62" s="28" t="str">
        <x:v>S3</x:v>
      </x:c>
      <x:c r="G62" s="28" t="str">
        <x:v>UE découverte</x:v>
      </x:c>
      <x:c r="H62" s="28" t="str">
        <x:v>UED 1.1</x:v>
      </x:c>
      <x:c r="I62" s="28" t="str">
        <x:v>Droit de l’environnement</x:v>
      </x:c>
      <x:c r="J62" s="29" t="n">
        <x:v>15</x:v>
      </x:c>
      <x:c r="K62" s="29" t="n">
        <x:v>15</x:v>
      </x:c>
      <x:c r="L62" s="29" t="n">
        <x:v>0</x:v>
      </x:c>
      <x:c r="M62" s="29" t="n">
        <x:v>0</x:v>
      </x:c>
      <x:c r="N62" s="29" t="n">
        <x:v>15</x:v>
      </x:c>
      <x:c r="O62" s="29" t="n">
        <x:v>1</x:v>
      </x:c>
      <x:c r="P62" s="29" t="n">
        <x:v>1</x:v>
      </x:c>
      <x:c r="Q62" s="29" t="str">
        <x:v>Enseignement</x:v>
      </x:c>
      <x:c r="R62" s="29" t="str">
        <x:v>Arrêté n°1459 du 04/12/2024</x:v>
      </x:c>
      <x:c r="S62" s="29" t="str">
        <x:v>04/12/2024</x:v>
      </x:c>
      <x:c r="T62" s="29" t="n">
        <x:v>7</x:v>
      </x:c>
      <x:c r="U62" s="29" t="str">
        <x:v>Vérifié sur arrêté</x:v>
      </x:c>
      <x:c r="V62" s="29" t="n">
        <x:f>IF(COUNTA(K62:M62)=0,"",SUM(K62:M62))</x:f>
        <x:v>15</x:v>
      </x:c>
      <x:c r="W62" s="29" t="n">
        <x:f>IF(V62="","",V62-J62)</x:f>
        <x:v>0</x:v>
      </x:c>
      <x:c r="X62" s="28" t="str"/>
    </x:row>
    <x:row r="63">
      <x:c r="A63" s="28" t="str">
        <x:v>REG-062</x:v>
      </x:c>
      <x:c r="B63" s="28" t="str">
        <x:v>Cycle 2</x:v>
      </x:c>
      <x:c r="C63" s="28" t="str">
        <x:v>Spécialité</x:v>
      </x:c>
      <x:c r="D63" s="28" t="str">
        <x:v>2e année</x:v>
      </x:c>
      <x:c r="E63" s="28" t="str">
        <x:v>Gestion des forêts</x:v>
      </x:c>
      <x:c r="F63" s="28" t="str">
        <x:v>S3</x:v>
      </x:c>
      <x:c r="G63" s="28" t="str">
        <x:v>UE transversale</x:v>
      </x:c>
      <x:c r="H63" s="28" t="str">
        <x:v>UET 1.1</x:v>
      </x:c>
      <x:c r="I63" s="28" t="str">
        <x:v>Communications scientifiques</x:v>
      </x:c>
      <x:c r="J63" s="29" t="n">
        <x:v>30</x:v>
      </x:c>
      <x:c r="K63" s="29" t="n">
        <x:v>15</x:v>
      </x:c>
      <x:c r="L63" s="29" t="n">
        <x:v>0</x:v>
      </x:c>
      <x:c r="M63" s="29" t="n">
        <x:v>15</x:v>
      </x:c>
      <x:c r="N63" s="29" t="n">
        <x:v>30</x:v>
      </x:c>
      <x:c r="O63" s="29" t="n">
        <x:v>1</x:v>
      </x:c>
      <x:c r="P63" s="29" t="n">
        <x:v>1</x:v>
      </x:c>
      <x:c r="Q63" s="29" t="str">
        <x:v>Enseignement</x:v>
      </x:c>
      <x:c r="R63" s="29" t="str">
        <x:v>Arrêté n°1459 du 04/12/2024</x:v>
      </x:c>
      <x:c r="S63" s="29" t="str">
        <x:v>04/12/2024</x:v>
      </x:c>
      <x:c r="T63" s="29" t="n">
        <x:v>7</x:v>
      </x:c>
      <x:c r="U63" s="29" t="str">
        <x:v>Vérifié sur arrêté</x:v>
      </x:c>
      <x:c r="V63" s="29" t="n">
        <x:f>IF(COUNTA(K63:M63)=0,"",SUM(K63:M63))</x:f>
        <x:v>30</x:v>
      </x:c>
      <x:c r="W63" s="29" t="n">
        <x:f>IF(V63="","",V63-J63)</x:f>
        <x:v>0</x:v>
      </x:c>
      <x:c r="X63" s="28" t="str"/>
    </x:row>
    <x:row r="64">
      <x:c r="A64" s="28" t="str">
        <x:v>REG-063</x:v>
      </x:c>
      <x:c r="B64" s="28" t="str">
        <x:v>Cycle 2</x:v>
      </x:c>
      <x:c r="C64" s="28" t="str">
        <x:v>Spécialité</x:v>
      </x:c>
      <x:c r="D64" s="28" t="str">
        <x:v>2e année</x:v>
      </x:c>
      <x:c r="E64" s="28" t="str">
        <x:v>Gestion des forêts</x:v>
      </x:c>
      <x:c r="F64" s="28" t="str">
        <x:v>S4</x:v>
      </x:c>
      <x:c r="G64" s="28" t="str">
        <x:v>UE fondamentale</x:v>
      </x:c>
      <x:c r="H64" s="28" t="str">
        <x:v>UEF 1.1</x:v>
      </x:c>
      <x:c r="I64" s="28" t="str">
        <x:v>Gestion forestière</x:v>
      </x:c>
      <x:c r="J64" s="29" t="n">
        <x:v>51</x:v>
      </x:c>
      <x:c r="K64" s="29" t="n">
        <x:v>36</x:v>
      </x:c>
      <x:c r="L64" s="29" t="n">
        <x:v>0</x:v>
      </x:c>
      <x:c r="M64" s="29" t="n">
        <x:v>15</x:v>
      </x:c>
      <x:c r="N64" s="29" t="n">
        <x:v>51</x:v>
      </x:c>
      <x:c r="O64" s="29" t="n">
        <x:v>3</x:v>
      </x:c>
      <x:c r="P64" s="29" t="n">
        <x:v>5</x:v>
      </x:c>
      <x:c r="Q64" s="29" t="str">
        <x:v>Enseignement</x:v>
      </x:c>
      <x:c r="R64" s="29" t="str">
        <x:v>Arrêté n°1459 du 04/12/2024</x:v>
      </x:c>
      <x:c r="S64" s="29" t="str">
        <x:v>04/12/2024</x:v>
      </x:c>
      <x:c r="T64" s="29" t="n">
        <x:v>8</x:v>
      </x:c>
      <x:c r="U64" s="29" t="str">
        <x:v>Vérifié sur arrêté</x:v>
      </x:c>
      <x:c r="V64" s="29" t="n">
        <x:f>IF(COUNTA(K64:M64)=0,"",SUM(K64:M64))</x:f>
        <x:v>51</x:v>
      </x:c>
      <x:c r="W64" s="29" t="n">
        <x:f>IF(V64="","",V64-J64)</x:f>
        <x:v>0</x:v>
      </x:c>
      <x:c r="X64" s="28" t="str"/>
    </x:row>
    <x:row r="65">
      <x:c r="A65" s="28" t="str">
        <x:v>REG-064</x:v>
      </x:c>
      <x:c r="B65" s="28" t="str">
        <x:v>Cycle 2</x:v>
      </x:c>
      <x:c r="C65" s="28" t="str">
        <x:v>Spécialité</x:v>
      </x:c>
      <x:c r="D65" s="28" t="str">
        <x:v>2e année</x:v>
      </x:c>
      <x:c r="E65" s="28" t="str">
        <x:v>Gestion des forêts</x:v>
      </x:c>
      <x:c r="F65" s="28" t="str">
        <x:v>S4</x:v>
      </x:c>
      <x:c r="G65" s="28" t="str">
        <x:v>UE fondamentale</x:v>
      </x:c>
      <x:c r="H65" s="28" t="str">
        <x:v>UEF 1.1</x:v>
      </x:c>
      <x:c r="I65" s="28" t="str">
        <x:v>Produits forestiers non ligneux (PFNL)</x:v>
      </x:c>
      <x:c r="J65" s="29" t="n">
        <x:v>45</x:v>
      </x:c>
      <x:c r="K65" s="29" t="n">
        <x:v>30</x:v>
      </x:c>
      <x:c r="L65" s="29" t="n">
        <x:v>0</x:v>
      </x:c>
      <x:c r="M65" s="29" t="n">
        <x:v>15</x:v>
      </x:c>
      <x:c r="N65" s="29" t="n">
        <x:v>45</x:v>
      </x:c>
      <x:c r="O65" s="29" t="n">
        <x:v>2</x:v>
      </x:c>
      <x:c r="P65" s="29" t="n">
        <x:v>5</x:v>
      </x:c>
      <x:c r="Q65" s="29" t="str">
        <x:v>Enseignement</x:v>
      </x:c>
      <x:c r="R65" s="29" t="str">
        <x:v>Arrêté n°1459 du 04/12/2024</x:v>
      </x:c>
      <x:c r="S65" s="29" t="str">
        <x:v>04/12/2024</x:v>
      </x:c>
      <x:c r="T65" s="29" t="n">
        <x:v>8</x:v>
      </x:c>
      <x:c r="U65" s="29" t="str">
        <x:v>Vérifié sur arrêté</x:v>
      </x:c>
      <x:c r="V65" s="29" t="n">
        <x:f>IF(COUNTA(K65:M65)=0,"",SUM(K65:M65))</x:f>
        <x:v>45</x:v>
      </x:c>
      <x:c r="W65" s="29" t="n">
        <x:f>IF(V65="","",V65-J65)</x:f>
        <x:v>0</x:v>
      </x:c>
      <x:c r="X65" s="28" t="str"/>
    </x:row>
    <x:row r="66">
      <x:c r="A66" s="28" t="str">
        <x:v>REG-065</x:v>
      </x:c>
      <x:c r="B66" s="28" t="str">
        <x:v>Cycle 2</x:v>
      </x:c>
      <x:c r="C66" s="28" t="str">
        <x:v>Spécialité</x:v>
      </x:c>
      <x:c r="D66" s="28" t="str">
        <x:v>2e année</x:v>
      </x:c>
      <x:c r="E66" s="28" t="str">
        <x:v>Gestion des forêts</x:v>
      </x:c>
      <x:c r="F66" s="28" t="str">
        <x:v>S4</x:v>
      </x:c>
      <x:c r="G66" s="28" t="str">
        <x:v>UE fondamentale</x:v>
      </x:c>
      <x:c r="H66" s="28" t="str">
        <x:v>UEF 1.2</x:v>
      </x:c>
      <x:c r="I66" s="28" t="str">
        <x:v>Production de plants forestiers</x:v>
      </x:c>
      <x:c r="J66" s="29" t="n">
        <x:v>60</x:v>
      </x:c>
      <x:c r="K66" s="29" t="n">
        <x:v>45</x:v>
      </x:c>
      <x:c r="L66" s="29" t="n">
        <x:v>0</x:v>
      </x:c>
      <x:c r="M66" s="29" t="n">
        <x:v>15</x:v>
      </x:c>
      <x:c r="N66" s="29" t="n">
        <x:v>60</x:v>
      </x:c>
      <x:c r="O66" s="29" t="n">
        <x:v>3</x:v>
      </x:c>
      <x:c r="P66" s="29" t="n">
        <x:v>5</x:v>
      </x:c>
      <x:c r="Q66" s="29" t="str">
        <x:v>Enseignement</x:v>
      </x:c>
      <x:c r="R66" s="29" t="str">
        <x:v>Arrêté n°1459 du 04/12/2024</x:v>
      </x:c>
      <x:c r="S66" s="29" t="str">
        <x:v>04/12/2024</x:v>
      </x:c>
      <x:c r="T66" s="29" t="n">
        <x:v>8</x:v>
      </x:c>
      <x:c r="U66" s="29" t="str">
        <x:v>Vérifié sur arrêté</x:v>
      </x:c>
      <x:c r="V66" s="29" t="n">
        <x:f>IF(COUNTA(K66:M66)=0,"",SUM(K66:M66))</x:f>
        <x:v>60</x:v>
      </x:c>
      <x:c r="W66" s="29" t="n">
        <x:f>IF(V66="","",V66-J66)</x:f>
        <x:v>0</x:v>
      </x:c>
      <x:c r="X66" s="28" t="str"/>
    </x:row>
    <x:row r="67">
      <x:c r="A67" s="28" t="str">
        <x:v>REG-066</x:v>
      </x:c>
      <x:c r="B67" s="28" t="str">
        <x:v>Cycle 2</x:v>
      </x:c>
      <x:c r="C67" s="28" t="str">
        <x:v>Spécialité</x:v>
      </x:c>
      <x:c r="D67" s="28" t="str">
        <x:v>2e année</x:v>
      </x:c>
      <x:c r="E67" s="28" t="str">
        <x:v>Gestion des forêts</x:v>
      </x:c>
      <x:c r="F67" s="28" t="str">
        <x:v>S4</x:v>
      </x:c>
      <x:c r="G67" s="28" t="str">
        <x:v>UE fondamentale</x:v>
      </x:c>
      <x:c r="H67" s="28" t="str">
        <x:v>UEF 1.2</x:v>
      </x:c>
      <x:c r="I67" s="28" t="str">
        <x:v>Pathologie forestière</x:v>
      </x:c>
      <x:c r="J67" s="29" t="n">
        <x:v>45</x:v>
      </x:c>
      <x:c r="K67" s="29" t="n">
        <x:v>30</x:v>
      </x:c>
      <x:c r="L67" s="29" t="n">
        <x:v>0</x:v>
      </x:c>
      <x:c r="M67" s="29" t="n">
        <x:v>15</x:v>
      </x:c>
      <x:c r="N67" s="29" t="n">
        <x:v>45</x:v>
      </x:c>
      <x:c r="O67" s="29" t="n">
        <x:v>2</x:v>
      </x:c>
      <x:c r="P67" s="29" t="n">
        <x:v>5</x:v>
      </x:c>
      <x:c r="Q67" s="29" t="str">
        <x:v>Enseignement</x:v>
      </x:c>
      <x:c r="R67" s="29" t="str">
        <x:v>Arrêté n°1459 du 04/12/2024</x:v>
      </x:c>
      <x:c r="S67" s="29" t="str">
        <x:v>04/12/2024</x:v>
      </x:c>
      <x:c r="T67" s="29" t="n">
        <x:v>8</x:v>
      </x:c>
      <x:c r="U67" s="29" t="str">
        <x:v>Vérifié sur arrêté</x:v>
      </x:c>
      <x:c r="V67" s="29" t="n">
        <x:f>IF(COUNTA(K67:M67)=0,"",SUM(K67:M67))</x:f>
        <x:v>45</x:v>
      </x:c>
      <x:c r="W67" s="29" t="n">
        <x:f>IF(V67="","",V67-J67)</x:f>
        <x:v>0</x:v>
      </x:c>
      <x:c r="X67" s="28" t="str"/>
    </x:row>
    <x:row r="68">
      <x:c r="A68" s="28" t="str">
        <x:v>REG-067</x:v>
      </x:c>
      <x:c r="B68" s="28" t="str">
        <x:v>Cycle 2</x:v>
      </x:c>
      <x:c r="C68" s="28" t="str">
        <x:v>Spécialité</x:v>
      </x:c>
      <x:c r="D68" s="28" t="str">
        <x:v>2e année</x:v>
      </x:c>
      <x:c r="E68" s="28" t="str">
        <x:v>Gestion des forêts</x:v>
      </x:c>
      <x:c r="F68" s="28" t="str">
        <x:v>S4</x:v>
      </x:c>
      <x:c r="G68" s="28" t="str">
        <x:v>UE méthodologique</x:v>
      </x:c>
      <x:c r="H68" s="28" t="str">
        <x:v>UEM 1.1</x:v>
      </x:c>
      <x:c r="I68" s="28" t="str">
        <x:v>Dendrométrie et inventaire forestier</x:v>
      </x:c>
      <x:c r="J68" s="29" t="n">
        <x:v>57</x:v>
      </x:c>
      <x:c r="K68" s="29" t="n">
        <x:v>21</x:v>
      </x:c>
      <x:c r="L68" s="29" t="n">
        <x:v>15</x:v>
      </x:c>
      <x:c r="M68" s="29" t="n">
        <x:v>21</x:v>
      </x:c>
      <x:c r="N68" s="29" t="n">
        <x:v>57</x:v>
      </x:c>
      <x:c r="O68" s="29" t="n">
        <x:v>2</x:v>
      </x:c>
      <x:c r="P68" s="29" t="n">
        <x:v>4</x:v>
      </x:c>
      <x:c r="Q68" s="29" t="str">
        <x:v>Enseignement</x:v>
      </x:c>
      <x:c r="R68" s="29" t="str">
        <x:v>Arrêté n°1459 du 04/12/2024</x:v>
      </x:c>
      <x:c r="S68" s="29" t="str">
        <x:v>04/12/2024</x:v>
      </x:c>
      <x:c r="T68" s="29" t="n">
        <x:v>8</x:v>
      </x:c>
      <x:c r="U68" s="29" t="str">
        <x:v>Vérifié sur arrêté</x:v>
      </x:c>
      <x:c r="V68" s="29" t="n">
        <x:f>IF(COUNTA(K68:M68)=0,"",SUM(K68:M68))</x:f>
        <x:v>57</x:v>
      </x:c>
      <x:c r="W68" s="29" t="n">
        <x:f>IF(V68="","",V68-J68)</x:f>
        <x:v>0</x:v>
      </x:c>
      <x:c r="X68" s="28" t="str"/>
    </x:row>
    <x:row r="69">
      <x:c r="A69" s="28" t="str">
        <x:v>REG-068</x:v>
      </x:c>
      <x:c r="B69" s="28" t="str">
        <x:v>Cycle 2</x:v>
      </x:c>
      <x:c r="C69" s="28" t="str">
        <x:v>Spécialité</x:v>
      </x:c>
      <x:c r="D69" s="28" t="str">
        <x:v>2e année</x:v>
      </x:c>
      <x:c r="E69" s="28" t="str">
        <x:v>Gestion des forêts</x:v>
      </x:c>
      <x:c r="F69" s="28" t="str">
        <x:v>S4</x:v>
      </x:c>
      <x:c r="G69" s="28" t="str">
        <x:v>UE méthodologique</x:v>
      </x:c>
      <x:c r="H69" s="28" t="str">
        <x:v>UEM 1.1</x:v>
      </x:c>
      <x:c r="I69" s="28" t="str">
        <x:v>Méthodes d’inventaires de la faune</x:v>
      </x:c>
      <x:c r="J69" s="29" t="n">
        <x:v>36</x:v>
      </x:c>
      <x:c r="K69" s="29" t="n">
        <x:v>21</x:v>
      </x:c>
      <x:c r="L69" s="29" t="n">
        <x:v>0</x:v>
      </x:c>
      <x:c r="M69" s="29" t="n">
        <x:v>15</x:v>
      </x:c>
      <x:c r="N69" s="29" t="n">
        <x:v>36</x:v>
      </x:c>
      <x:c r="O69" s="29" t="n">
        <x:v>2</x:v>
      </x:c>
      <x:c r="P69" s="29" t="n">
        <x:v>3</x:v>
      </x:c>
      <x:c r="Q69" s="29" t="str">
        <x:v>Enseignement</x:v>
      </x:c>
      <x:c r="R69" s="29" t="str">
        <x:v>Arrêté n°1459 du 04/12/2024</x:v>
      </x:c>
      <x:c r="S69" s="29" t="str">
        <x:v>04/12/2024</x:v>
      </x:c>
      <x:c r="T69" s="29" t="n">
        <x:v>8</x:v>
      </x:c>
      <x:c r="U69" s="29" t="str">
        <x:v>Vérifié sur arrêté</x:v>
      </x:c>
      <x:c r="V69" s="29" t="n">
        <x:f>IF(COUNTA(K69:M69)=0,"",SUM(K69:M69))</x:f>
        <x:v>36</x:v>
      </x:c>
      <x:c r="W69" s="29" t="n">
        <x:f>IF(V69="","",V69-J69)</x:f>
        <x:v>0</x:v>
      </x:c>
      <x:c r="X69" s="28" t="str"/>
    </x:row>
    <x:row r="70">
      <x:c r="A70" s="28" t="str">
        <x:v>REG-069</x:v>
      </x:c>
      <x:c r="B70" s="28" t="str">
        <x:v>Cycle 2</x:v>
      </x:c>
      <x:c r="C70" s="28" t="str">
        <x:v>Spécialité</x:v>
      </x:c>
      <x:c r="D70" s="28" t="str">
        <x:v>2e année</x:v>
      </x:c>
      <x:c r="E70" s="28" t="str">
        <x:v>Gestion des forêts</x:v>
      </x:c>
      <x:c r="F70" s="28" t="str">
        <x:v>S4</x:v>
      </x:c>
      <x:c r="G70" s="28" t="str">
        <x:v>UE découverte</x:v>
      </x:c>
      <x:c r="H70" s="28" t="str">
        <x:v>UED 1.1</x:v>
      </x:c>
      <x:c r="I70" s="28" t="str">
        <x:v>Entreprenariat</x:v>
      </x:c>
      <x:c r="J70" s="29" t="n">
        <x:v>36</x:v>
      </x:c>
      <x:c r="K70" s="29" t="n">
        <x:v>21</x:v>
      </x:c>
      <x:c r="L70" s="29" t="n">
        <x:v>0</x:v>
      </x:c>
      <x:c r="M70" s="29" t="n">
        <x:v>15</x:v>
      </x:c>
      <x:c r="N70" s="29" t="n">
        <x:v>36</x:v>
      </x:c>
      <x:c r="O70" s="29" t="n">
        <x:v>1</x:v>
      </x:c>
      <x:c r="P70" s="29" t="n">
        <x:v>1</x:v>
      </x:c>
      <x:c r="Q70" s="29" t="str">
        <x:v>Enseignement</x:v>
      </x:c>
      <x:c r="R70" s="29" t="str">
        <x:v>Arrêté n°1459 du 04/12/2024</x:v>
      </x:c>
      <x:c r="S70" s="29" t="str">
        <x:v>04/12/2024</x:v>
      </x:c>
      <x:c r="T70" s="29" t="n">
        <x:v>8</x:v>
      </x:c>
      <x:c r="U70" s="29" t="str">
        <x:v>Vérifié sur arrêté</x:v>
      </x:c>
      <x:c r="V70" s="29" t="n">
        <x:f>IF(COUNTA(K70:M70)=0,"",SUM(K70:M70))</x:f>
        <x:v>36</x:v>
      </x:c>
      <x:c r="W70" s="29" t="n">
        <x:f>IF(V70="","",V70-J70)</x:f>
        <x:v>0</x:v>
      </x:c>
      <x:c r="X70" s="28" t="str"/>
    </x:row>
    <x:row r="71">
      <x:c r="A71" s="28" t="str">
        <x:v>REG-070</x:v>
      </x:c>
      <x:c r="B71" s="28" t="str">
        <x:v>Cycle 2</x:v>
      </x:c>
      <x:c r="C71" s="28" t="str">
        <x:v>Spécialité</x:v>
      </x:c>
      <x:c r="D71" s="28" t="str">
        <x:v>2e année</x:v>
      </x:c>
      <x:c r="E71" s="28" t="str">
        <x:v>Gestion des forêts</x:v>
      </x:c>
      <x:c r="F71" s="28" t="str">
        <x:v>S4</x:v>
      </x:c>
      <x:c r="G71" s="28" t="str">
        <x:v>UE découverte</x:v>
      </x:c>
      <x:c r="H71" s="28" t="str">
        <x:v>UED 1.1</x:v>
      </x:c>
      <x:c r="I71" s="28" t="str">
        <x:v>Aires protégées</x:v>
      </x:c>
      <x:c r="J71" s="29" t="n">
        <x:v>30</x:v>
      </x:c>
      <x:c r="K71" s="29" t="n">
        <x:v>15</x:v>
      </x:c>
      <x:c r="L71" s="29" t="n">
        <x:v>0</x:v>
      </x:c>
      <x:c r="M71" s="29" t="n">
        <x:v>15</x:v>
      </x:c>
      <x:c r="N71" s="29" t="n">
        <x:v>30</x:v>
      </x:c>
      <x:c r="O71" s="29" t="n">
        <x:v>1</x:v>
      </x:c>
      <x:c r="P71" s="29" t="n">
        <x:v>1</x:v>
      </x:c>
      <x:c r="Q71" s="29" t="str">
        <x:v>Enseignement</x:v>
      </x:c>
      <x:c r="R71" s="29" t="str">
        <x:v>Arrêté n°1459 du 04/12/2024</x:v>
      </x:c>
      <x:c r="S71" s="29" t="str">
        <x:v>04/12/2024</x:v>
      </x:c>
      <x:c r="T71" s="29" t="n">
        <x:v>8</x:v>
      </x:c>
      <x:c r="U71" s="29" t="str">
        <x:v>Vérifié sur arrêté</x:v>
      </x:c>
      <x:c r="V71" s="29" t="n">
        <x:f>IF(COUNTA(K71:M71)=0,"",SUM(K71:M71))</x:f>
        <x:v>30</x:v>
      </x:c>
      <x:c r="W71" s="29" t="n">
        <x:f>IF(V71="","",V71-J71)</x:f>
        <x:v>0</x:v>
      </x:c>
      <x:c r="X71" s="28" t="str"/>
    </x:row>
    <x:row r="72">
      <x:c r="A72" s="28" t="str">
        <x:v>REG-071</x:v>
      </x:c>
      <x:c r="B72" s="28" t="str">
        <x:v>Cycle 2</x:v>
      </x:c>
      <x:c r="C72" s="28" t="str">
        <x:v>Spécialité</x:v>
      </x:c>
      <x:c r="D72" s="28" t="str">
        <x:v>2e année</x:v>
      </x:c>
      <x:c r="E72" s="28" t="str">
        <x:v>Gestion des forêts</x:v>
      </x:c>
      <x:c r="F72" s="28" t="str">
        <x:v>S4</x:v>
      </x:c>
      <x:c r="G72" s="28" t="str">
        <x:v>UE transversale</x:v>
      </x:c>
      <x:c r="H72" s="28" t="str">
        <x:v>UET 1.1</x:v>
      </x:c>
      <x:c r="I72" s="28" t="str">
        <x:v>Écotourisme</x:v>
      </x:c>
      <x:c r="J72" s="29" t="n">
        <x:v>15</x:v>
      </x:c>
      <x:c r="K72" s="29" t="n">
        <x:v>15</x:v>
      </x:c>
      <x:c r="L72" s="29" t="n">
        <x:v>0</x:v>
      </x:c>
      <x:c r="M72" s="29" t="n">
        <x:v>0</x:v>
      </x:c>
      <x:c r="N72" s="29" t="n">
        <x:v>15</x:v>
      </x:c>
      <x:c r="O72" s="29" t="n">
        <x:v>1</x:v>
      </x:c>
      <x:c r="P72" s="29" t="n">
        <x:v>1</x:v>
      </x:c>
      <x:c r="Q72" s="29" t="str">
        <x:v>Enseignement</x:v>
      </x:c>
      <x:c r="R72" s="29" t="str">
        <x:v>Arrêté n°1459 du 04/12/2024</x:v>
      </x:c>
      <x:c r="S72" s="29" t="str">
        <x:v>04/12/2024</x:v>
      </x:c>
      <x:c r="T72" s="29" t="n">
        <x:v>8</x:v>
      </x:c>
      <x:c r="U72" s="29" t="str">
        <x:v>Vérifié sur arrêté</x:v>
      </x:c>
      <x:c r="V72" s="29" t="n">
        <x:f>IF(COUNTA(K72:M72)=0,"",SUM(K72:M72))</x:f>
        <x:v>15</x:v>
      </x:c>
      <x:c r="W72" s="29" t="n">
        <x:f>IF(V72="","",V72-J72)</x:f>
        <x:v>0</x:v>
      </x:c>
      <x:c r="X72" s="28" t="str"/>
    </x:row>
    <x:row r="73">
      <x:c r="A73" s="28" t="str">
        <x:v>REG-072</x:v>
      </x:c>
      <x:c r="B73" s="28" t="str">
        <x:v>Cycle 2</x:v>
      </x:c>
      <x:c r="C73" s="28" t="str">
        <x:v>Spécialité</x:v>
      </x:c>
      <x:c r="D73" s="28" t="str">
        <x:v>3e année</x:v>
      </x:c>
      <x:c r="E73" s="28" t="str">
        <x:v>Gestion des forêts</x:v>
      </x:c>
      <x:c r="F73" s="28" t="str">
        <x:v>S5</x:v>
      </x:c>
      <x:c r="G73" s="28" t="str">
        <x:v>UE fondamentale</x:v>
      </x:c>
      <x:c r="H73" s="28" t="str">
        <x:v>UEF 1.1</x:v>
      </x:c>
      <x:c r="I73" s="28" t="str">
        <x:v>Dendroécologie</x:v>
      </x:c>
      <x:c r="J73" s="29" t="n">
        <x:v>60</x:v>
      </x:c>
      <x:c r="K73" s="29" t="n">
        <x:v>45</x:v>
      </x:c>
      <x:c r="L73" s="29" t="n">
        <x:v>0</x:v>
      </x:c>
      <x:c r="M73" s="29" t="n">
        <x:v>15</x:v>
      </x:c>
      <x:c r="N73" s="29" t="n">
        <x:v>60</x:v>
      </x:c>
      <x:c r="O73" s="29" t="n">
        <x:v>3</x:v>
      </x:c>
      <x:c r="P73" s="29" t="n">
        <x:v>5</x:v>
      </x:c>
      <x:c r="Q73" s="29" t="str">
        <x:v>Enseignement</x:v>
      </x:c>
      <x:c r="R73" s="29" t="str">
        <x:v>Arrêté n°1459 du 04/12/2024</x:v>
      </x:c>
      <x:c r="S73" s="29" t="str">
        <x:v>04/12/2024</x:v>
      </x:c>
      <x:c r="T73" s="29" t="n">
        <x:v>9</x:v>
      </x:c>
      <x:c r="U73" s="29" t="str">
        <x:v>Vérifié sur arrêté</x:v>
      </x:c>
      <x:c r="V73" s="29" t="n">
        <x:f>IF(COUNTA(K73:M73)=0,"",SUM(K73:M73))</x:f>
        <x:v>60</x:v>
      </x:c>
      <x:c r="W73" s="29" t="n">
        <x:f>IF(V73="","",V73-J73)</x:f>
        <x:v>0</x:v>
      </x:c>
      <x:c r="X73" s="28" t="str"/>
    </x:row>
    <x:row r="74">
      <x:c r="A74" s="28" t="str">
        <x:v>REG-073</x:v>
      </x:c>
      <x:c r="B74" s="28" t="str">
        <x:v>Cycle 2</x:v>
      </x:c>
      <x:c r="C74" s="28" t="str">
        <x:v>Spécialité</x:v>
      </x:c>
      <x:c r="D74" s="28" t="str">
        <x:v>3e année</x:v>
      </x:c>
      <x:c r="E74" s="28" t="str">
        <x:v>Gestion des forêts</x:v>
      </x:c>
      <x:c r="F74" s="28" t="str">
        <x:v>S5</x:v>
      </x:c>
      <x:c r="G74" s="28" t="str">
        <x:v>UE fondamentale</x:v>
      </x:c>
      <x:c r="H74" s="28" t="str">
        <x:v>UEF 1.1</x:v>
      </x:c>
      <x:c r="I74" s="28" t="str">
        <x:v>Défense des forêts contre les incendies (DFCI)</x:v>
      </x:c>
      <x:c r="J74" s="29" t="n">
        <x:v>48</x:v>
      </x:c>
      <x:c r="K74" s="29" t="n">
        <x:v>33</x:v>
      </x:c>
      <x:c r="L74" s="29" t="n">
        <x:v>0</x:v>
      </x:c>
      <x:c r="M74" s="29" t="n">
        <x:v>15</x:v>
      </x:c>
      <x:c r="N74" s="29" t="n">
        <x:v>48</x:v>
      </x:c>
      <x:c r="O74" s="29" t="n">
        <x:v>2</x:v>
      </x:c>
      <x:c r="P74" s="29" t="n">
        <x:v>5</x:v>
      </x:c>
      <x:c r="Q74" s="29" t="str">
        <x:v>Enseignement</x:v>
      </x:c>
      <x:c r="R74" s="29" t="str">
        <x:v>Arrêté n°1459 du 04/12/2024</x:v>
      </x:c>
      <x:c r="S74" s="29" t="str">
        <x:v>04/12/2024</x:v>
      </x:c>
      <x:c r="T74" s="29" t="n">
        <x:v>9</x:v>
      </x:c>
      <x:c r="U74" s="29" t="str">
        <x:v>Vérifié sur arrêté</x:v>
      </x:c>
      <x:c r="V74" s="29" t="n">
        <x:f>IF(COUNTA(K74:M74)=0,"",SUM(K74:M74))</x:f>
        <x:v>48</x:v>
      </x:c>
      <x:c r="W74" s="29" t="n">
        <x:f>IF(V74="","",V74-J74)</x:f>
        <x:v>0</x:v>
      </x:c>
      <x:c r="X74" s="28" t="str"/>
    </x:row>
    <x:row r="75">
      <x:c r="A75" s="28" t="str">
        <x:v>REG-074</x:v>
      </x:c>
      <x:c r="B75" s="28" t="str">
        <x:v>Cycle 2</x:v>
      </x:c>
      <x:c r="C75" s="28" t="str">
        <x:v>Spécialité</x:v>
      </x:c>
      <x:c r="D75" s="28" t="str">
        <x:v>3e année</x:v>
      </x:c>
      <x:c r="E75" s="28" t="str">
        <x:v>Gestion des forêts</x:v>
      </x:c>
      <x:c r="F75" s="28" t="str">
        <x:v>S5</x:v>
      </x:c>
      <x:c r="G75" s="28" t="str">
        <x:v>UE fondamentale</x:v>
      </x:c>
      <x:c r="H75" s="28" t="str">
        <x:v>UEF 1.2</x:v>
      </x:c>
      <x:c r="I75" s="28" t="str">
        <x:v>Désertification et barrage vert</x:v>
      </x:c>
      <x:c r="J75" s="29" t="n">
        <x:v>60</x:v>
      </x:c>
      <x:c r="K75" s="29" t="n">
        <x:v>45</x:v>
      </x:c>
      <x:c r="L75" s="29" t="n">
        <x:v>15</x:v>
      </x:c>
      <x:c r="M75" s="29" t="n">
        <x:v>0</x:v>
      </x:c>
      <x:c r="N75" s="29" t="n">
        <x:v>60</x:v>
      </x:c>
      <x:c r="O75" s="29" t="n">
        <x:v>2</x:v>
      </x:c>
      <x:c r="P75" s="29" t="n">
        <x:v>5</x:v>
      </x:c>
      <x:c r="Q75" s="29" t="str">
        <x:v>Enseignement</x:v>
      </x:c>
      <x:c r="R75" s="29" t="str">
        <x:v>Arrêté n°1459 du 04/12/2024</x:v>
      </x:c>
      <x:c r="S75" s="29" t="str">
        <x:v>04/12/2024</x:v>
      </x:c>
      <x:c r="T75" s="29" t="n">
        <x:v>9</x:v>
      </x:c>
      <x:c r="U75" s="29" t="str">
        <x:v>Vérifié sur arrêté</x:v>
      </x:c>
      <x:c r="V75" s="29" t="n">
        <x:f>IF(COUNTA(K75:M75)=0,"",SUM(K75:M75))</x:f>
        <x:v>60</x:v>
      </x:c>
      <x:c r="W75" s="29" t="n">
        <x:f>IF(V75="","",V75-J75)</x:f>
        <x:v>0</x:v>
      </x:c>
      <x:c r="X75" s="28" t="str"/>
    </x:row>
    <x:row r="76">
      <x:c r="A76" s="28" t="str">
        <x:v>REG-075</x:v>
      </x:c>
      <x:c r="B76" s="28" t="str">
        <x:v>Cycle 2</x:v>
      </x:c>
      <x:c r="C76" s="28" t="str">
        <x:v>Spécialité</x:v>
      </x:c>
      <x:c r="D76" s="28" t="str">
        <x:v>3e année</x:v>
      </x:c>
      <x:c r="E76" s="28" t="str">
        <x:v>Gestion des forêts</x:v>
      </x:c>
      <x:c r="F76" s="28" t="str">
        <x:v>S5</x:v>
      </x:c>
      <x:c r="G76" s="28" t="str">
        <x:v>UE fondamentale</x:v>
      </x:c>
      <x:c r="H76" s="28" t="str">
        <x:v>UEF 1.2</x:v>
      </x:c>
      <x:c r="I76" s="28" t="str">
        <x:v>Pastoralisme et gestion des parcours steppiques</x:v>
      </x:c>
      <x:c r="J76" s="29" t="n">
        <x:v>60</x:v>
      </x:c>
      <x:c r="K76" s="29" t="n">
        <x:v>45</x:v>
      </x:c>
      <x:c r="L76" s="29" t="n">
        <x:v>15</x:v>
      </x:c>
      <x:c r="M76" s="29" t="n">
        <x:v>0</x:v>
      </x:c>
      <x:c r="N76" s="29" t="n">
        <x:v>60</x:v>
      </x:c>
      <x:c r="O76" s="29" t="n">
        <x:v>3</x:v>
      </x:c>
      <x:c r="P76" s="29" t="n">
        <x:v>5</x:v>
      </x:c>
      <x:c r="Q76" s="29" t="str">
        <x:v>Enseignement</x:v>
      </x:c>
      <x:c r="R76" s="29" t="str">
        <x:v>Arrêté n°1459 du 04/12/2024</x:v>
      </x:c>
      <x:c r="S76" s="29" t="str">
        <x:v>04/12/2024</x:v>
      </x:c>
      <x:c r="T76" s="29" t="n">
        <x:v>9</x:v>
      </x:c>
      <x:c r="U76" s="29" t="str">
        <x:v>Vérifié sur arrêté</x:v>
      </x:c>
      <x:c r="V76" s="29" t="n">
        <x:f>IF(COUNTA(K76:M76)=0,"",SUM(K76:M76))</x:f>
        <x:v>60</x:v>
      </x:c>
      <x:c r="W76" s="29" t="n">
        <x:f>IF(V76="","",V76-J76)</x:f>
        <x:v>0</x:v>
      </x:c>
      <x:c r="X76" s="28" t="str"/>
    </x:row>
    <x:row r="77">
      <x:c r="A77" s="28" t="str">
        <x:v>REG-076</x:v>
      </x:c>
      <x:c r="B77" s="28" t="str">
        <x:v>Cycle 2</x:v>
      </x:c>
      <x:c r="C77" s="28" t="str">
        <x:v>Spécialité</x:v>
      </x:c>
      <x:c r="D77" s="28" t="str">
        <x:v>3e année</x:v>
      </x:c>
      <x:c r="E77" s="28" t="str">
        <x:v>Gestion des forêts</x:v>
      </x:c>
      <x:c r="F77" s="28" t="str">
        <x:v>S5</x:v>
      </x:c>
      <x:c r="G77" s="28" t="str">
        <x:v>UE méthodologique</x:v>
      </x:c>
      <x:c r="H77" s="28" t="str">
        <x:v>UEM 1.1</x:v>
      </x:c>
      <x:c r="I77" s="28" t="str">
        <x:v>Aménagement forestier</x:v>
      </x:c>
      <x:c r="J77" s="29" t="n">
        <x:v>45</x:v>
      </x:c>
      <x:c r="K77" s="29" t="n">
        <x:v>30</x:v>
      </x:c>
      <x:c r="L77" s="29" t="n">
        <x:v>0</x:v>
      </x:c>
      <x:c r="M77" s="29" t="n">
        <x:v>15</x:v>
      </x:c>
      <x:c r="N77" s="29" t="n">
        <x:v>45</x:v>
      </x:c>
      <x:c r="O77" s="29" t="n">
        <x:v>2</x:v>
      </x:c>
      <x:c r="P77" s="29" t="n">
        <x:v>4</x:v>
      </x:c>
      <x:c r="Q77" s="29" t="str">
        <x:v>Enseignement</x:v>
      </x:c>
      <x:c r="R77" s="29" t="str">
        <x:v>Arrêté n°1459 du 04/12/2024</x:v>
      </x:c>
      <x:c r="S77" s="29" t="str">
        <x:v>04/12/2024</x:v>
      </x:c>
      <x:c r="T77" s="29" t="n">
        <x:v>9</x:v>
      </x:c>
      <x:c r="U77" s="29" t="str">
        <x:v>Vérifié sur arrêté</x:v>
      </x:c>
      <x:c r="V77" s="29" t="n">
        <x:f>IF(COUNTA(K77:M77)=0,"",SUM(K77:M77))</x:f>
        <x:v>45</x:v>
      </x:c>
      <x:c r="W77" s="29" t="n">
        <x:f>IF(V77="","",V77-J77)</x:f>
        <x:v>0</x:v>
      </x:c>
      <x:c r="X77" s="28" t="str"/>
    </x:row>
    <x:row r="78">
      <x:c r="A78" s="28" t="str">
        <x:v>REG-077</x:v>
      </x:c>
      <x:c r="B78" s="28" t="str">
        <x:v>Cycle 2</x:v>
      </x:c>
      <x:c r="C78" s="28" t="str">
        <x:v>Spécialité</x:v>
      </x:c>
      <x:c r="D78" s="28" t="str">
        <x:v>3e année</x:v>
      </x:c>
      <x:c r="E78" s="28" t="str">
        <x:v>Gestion des forêts</x:v>
      </x:c>
      <x:c r="F78" s="28" t="str">
        <x:v>S5</x:v>
      </x:c>
      <x:c r="G78" s="28" t="str">
        <x:v>UE méthodologique</x:v>
      </x:c>
      <x:c r="H78" s="28" t="str">
        <x:v>UEM 1.1</x:v>
      </x:c>
      <x:c r="I78" s="28" t="str">
        <x:v>Économie forestière</x:v>
      </x:c>
      <x:c r="J78" s="29" t="n">
        <x:v>30</x:v>
      </x:c>
      <x:c r="K78" s="29" t="n">
        <x:v>30</x:v>
      </x:c>
      <x:c r="L78" s="29" t="n">
        <x:v>0</x:v>
      </x:c>
      <x:c r="M78" s="29" t="n">
        <x:v>0</x:v>
      </x:c>
      <x:c r="N78" s="29" t="n">
        <x:v>30</x:v>
      </x:c>
      <x:c r="O78" s="29" t="n">
        <x:v>2</x:v>
      </x:c>
      <x:c r="P78" s="29" t="n">
        <x:v>3</x:v>
      </x:c>
      <x:c r="Q78" s="29" t="str">
        <x:v>Enseignement</x:v>
      </x:c>
      <x:c r="R78" s="29" t="str">
        <x:v>Arrêté n°1459 du 04/12/2024</x:v>
      </x:c>
      <x:c r="S78" s="29" t="str">
        <x:v>04/12/2024</x:v>
      </x:c>
      <x:c r="T78" s="29" t="n">
        <x:v>9</x:v>
      </x:c>
      <x:c r="U78" s="29" t="str">
        <x:v>Vérifié sur arrêté</x:v>
      </x:c>
      <x:c r="V78" s="29" t="n">
        <x:f>IF(COUNTA(K78:M78)=0,"",SUM(K78:M78))</x:f>
        <x:v>30</x:v>
      </x:c>
      <x:c r="W78" s="29" t="n">
        <x:f>IF(V78="","",V78-J78)</x:f>
        <x:v>0</x:v>
      </x:c>
      <x:c r="X78" s="28" t="str"/>
    </x:row>
    <x:row r="79">
      <x:c r="A79" s="28" t="str">
        <x:v>REG-078</x:v>
      </x:c>
      <x:c r="B79" s="28" t="str">
        <x:v>Cycle 2</x:v>
      </x:c>
      <x:c r="C79" s="28" t="str">
        <x:v>Spécialité</x:v>
      </x:c>
      <x:c r="D79" s="28" t="str">
        <x:v>3e année</x:v>
      </x:c>
      <x:c r="E79" s="28" t="str">
        <x:v>Gestion des forêts</x:v>
      </x:c>
      <x:c r="F79" s="28" t="str">
        <x:v>S5</x:v>
      </x:c>
      <x:c r="G79" s="28" t="str">
        <x:v>UE découverte</x:v>
      </x:c>
      <x:c r="H79" s="28" t="str">
        <x:v>UED 1.1</x:v>
      </x:c>
      <x:c r="I79" s="28" t="str">
        <x:v>Foresterie urbaine</x:v>
      </x:c>
      <x:c r="J79" s="29" t="n">
        <x:v>21</x:v>
      </x:c>
      <x:c r="K79" s="29" t="n">
        <x:v>21</x:v>
      </x:c>
      <x:c r="L79" s="29" t="n">
        <x:v>0</x:v>
      </x:c>
      <x:c r="M79" s="29" t="n">
        <x:v>0</x:v>
      </x:c>
      <x:c r="N79" s="29" t="n">
        <x:v>21</x:v>
      </x:c>
      <x:c r="O79" s="29" t="n">
        <x:v>1</x:v>
      </x:c>
      <x:c r="P79" s="29" t="n">
        <x:v>1</x:v>
      </x:c>
      <x:c r="Q79" s="29" t="str">
        <x:v>Enseignement</x:v>
      </x:c>
      <x:c r="R79" s="29" t="str">
        <x:v>Arrêté n°1459 du 04/12/2024</x:v>
      </x:c>
      <x:c r="S79" s="29" t="str">
        <x:v>04/12/2024</x:v>
      </x:c>
      <x:c r="T79" s="29" t="n">
        <x:v>9</x:v>
      </x:c>
      <x:c r="U79" s="29" t="str">
        <x:v>Vérifié sur arrêté</x:v>
      </x:c>
      <x:c r="V79" s="29" t="n">
        <x:f>IF(COUNTA(K79:M79)=0,"",SUM(K79:M79))</x:f>
        <x:v>21</x:v>
      </x:c>
      <x:c r="W79" s="29" t="n">
        <x:f>IF(V79="","",V79-J79)</x:f>
        <x:v>0</x:v>
      </x:c>
      <x:c r="X79" s="28" t="str"/>
    </x:row>
    <x:row r="80">
      <x:c r="A80" s="28" t="str">
        <x:v>REG-079</x:v>
      </x:c>
      <x:c r="B80" s="28" t="str">
        <x:v>Cycle 2</x:v>
      </x:c>
      <x:c r="C80" s="28" t="str">
        <x:v>Spécialité</x:v>
      </x:c>
      <x:c r="D80" s="28" t="str">
        <x:v>3e année</x:v>
      </x:c>
      <x:c r="E80" s="28" t="str">
        <x:v>Gestion des forêts</x:v>
      </x:c>
      <x:c r="F80" s="28" t="str">
        <x:v>S5</x:v>
      </x:c>
      <x:c r="G80" s="28" t="str">
        <x:v>UE découverte</x:v>
      </x:c>
      <x:c r="H80" s="28" t="str">
        <x:v>UED 1.1</x:v>
      </x:c>
      <x:c r="I80" s="28" t="str">
        <x:v>Sylvo-cynégétique</x:v>
      </x:c>
      <x:c r="J80" s="29" t="n">
        <x:v>21</x:v>
      </x:c>
      <x:c r="K80" s="29" t="n">
        <x:v>21</x:v>
      </x:c>
      <x:c r="L80" s="29" t="n">
        <x:v>0</x:v>
      </x:c>
      <x:c r="M80" s="29" t="n">
        <x:v>0</x:v>
      </x:c>
      <x:c r="N80" s="29" t="n">
        <x:v>21</x:v>
      </x:c>
      <x:c r="O80" s="29" t="n">
        <x:v>1</x:v>
      </x:c>
      <x:c r="P80" s="29" t="n">
        <x:v>1</x:v>
      </x:c>
      <x:c r="Q80" s="29" t="str">
        <x:v>Enseignement</x:v>
      </x:c>
      <x:c r="R80" s="29" t="str">
        <x:v>Arrêté n°1459 du 04/12/2024</x:v>
      </x:c>
      <x:c r="S80" s="29" t="str">
        <x:v>04/12/2024</x:v>
      </x:c>
      <x:c r="T80" s="29" t="n">
        <x:v>9</x:v>
      </x:c>
      <x:c r="U80" s="29" t="str">
        <x:v>Vérifié sur arrêté</x:v>
      </x:c>
      <x:c r="V80" s="29" t="n">
        <x:f>IF(COUNTA(K80:M80)=0,"",SUM(K80:M80))</x:f>
        <x:v>21</x:v>
      </x:c>
      <x:c r="W80" s="29" t="n">
        <x:f>IF(V80="","",V80-J80)</x:f>
        <x:v>0</x:v>
      </x:c>
      <x:c r="X80" s="28" t="str"/>
    </x:row>
    <x:row r="81">
      <x:c r="A81" s="28" t="str">
        <x:v>REG-080</x:v>
      </x:c>
      <x:c r="B81" s="28" t="str">
        <x:v>Cycle 2</x:v>
      </x:c>
      <x:c r="C81" s="28" t="str">
        <x:v>Spécialité</x:v>
      </x:c>
      <x:c r="D81" s="28" t="str">
        <x:v>3e année</x:v>
      </x:c>
      <x:c r="E81" s="28" t="str">
        <x:v>Gestion des forêts</x:v>
      </x:c>
      <x:c r="F81" s="28" t="str">
        <x:v>S5</x:v>
      </x:c>
      <x:c r="G81" s="28" t="str">
        <x:v>UE transversale</x:v>
      </x:c>
      <x:c r="H81" s="28" t="str">
        <x:v>UET 1.1</x:v>
      </x:c>
      <x:c r="I81" s="28" t="str">
        <x:v>Invasions biologiques</x:v>
      </x:c>
      <x:c r="J81" s="29" t="n">
        <x:v>30</x:v>
      </x:c>
      <x:c r="K81" s="29" t="n">
        <x:v>15</x:v>
      </x:c>
      <x:c r="L81" s="29" t="n">
        <x:v>15</x:v>
      </x:c>
      <x:c r="M81" s="29" t="n">
        <x:v>0</x:v>
      </x:c>
      <x:c r="N81" s="29" t="n">
        <x:v>30</x:v>
      </x:c>
      <x:c r="O81" s="29" t="n">
        <x:v>1</x:v>
      </x:c>
      <x:c r="P81" s="29" t="n">
        <x:v>1</x:v>
      </x:c>
      <x:c r="Q81" s="29" t="str">
        <x:v>Enseignement</x:v>
      </x:c>
      <x:c r="R81" s="29" t="str">
        <x:v>Arrêté n°1459 du 04/12/2024</x:v>
      </x:c>
      <x:c r="S81" s="29" t="str">
        <x:v>04/12/2024</x:v>
      </x:c>
      <x:c r="T81" s="29" t="n">
        <x:v>9</x:v>
      </x:c>
      <x:c r="U81" s="29" t="str">
        <x:v>Vérifié sur arrêté</x:v>
      </x:c>
      <x:c r="V81" s="29" t="n">
        <x:f>IF(COUNTA(K81:M81)=0,"",SUM(K81:M81))</x:f>
        <x:v>30</x:v>
      </x:c>
      <x:c r="W81" s="29" t="n">
        <x:f>IF(V81="","",V81-J81)</x:f>
        <x:v>0</x:v>
      </x:c>
      <x:c r="X81" s="28" t="str"/>
    </x:row>
    <x:row r="82">
      <x:c r="A82" s="28" t="str">
        <x:v>REG-081</x:v>
      </x:c>
      <x:c r="B82" s="28" t="str">
        <x:v>Cycle 2</x:v>
      </x:c>
      <x:c r="C82" s="28" t="str">
        <x:v>Spécialité</x:v>
      </x:c>
      <x:c r="D82" s="28" t="str">
        <x:v>3e année</x:v>
      </x:c>
      <x:c r="E82" s="28" t="str">
        <x:v>Gestion des forêts</x:v>
      </x:c>
      <x:c r="F82" s="28" t="str">
        <x:v>S6</x:v>
      </x:c>
      <x:c r="G82" s="28" t="str">
        <x:v>Projet de fin d’études</x:v>
      </x:c>
      <x:c r="H82" s="28" t="str"/>
      <x:c r="I82" s="28" t="str">
        <x:v>Recherche bibliographique</x:v>
      </x:c>
      <x:c r="J82" s="29" t="n">
        <x:v>100</x:v>
      </x:c>
      <x:c r="K82" s="29"/>
      <x:c r="L82" s="29"/>
      <x:c r="M82" s="29"/>
      <x:c r="N82" s="29"/>
      <x:c r="O82" s="29"/>
      <x:c r="P82" s="29"/>
      <x:c r="Q82" s="29" t="str">
        <x:v>Activité PFE</x:v>
      </x:c>
      <x:c r="R82" s="29" t="str">
        <x:v>Arrêté n°1459 du 04/12/2024</x:v>
      </x:c>
      <x:c r="S82" s="29" t="str">
        <x:v>04/12/2024</x:v>
      </x:c>
      <x:c r="T82" s="29" t="n">
        <x:v>10</x:v>
      </x:c>
      <x:c r="U82" s="29" t="str">
        <x:v>Vérifié sur arrêté</x:v>
      </x:c>
      <x:c r="V82" s="29" t="str">
        <x:f>IF(COUNTA(K82:M82)=0,"",SUM(K82:M82))</x:f>
      </x:c>
      <x:c r="W82" s="29" t="str">
        <x:f>IF(V82="","",V82-J82)</x:f>
      </x:c>
      <x:c r="X82" s="28" t="str">
        <x:v>Travail personnel global du S6 = 375 h ; total annoncé = 750 h.</x:v>
      </x:c>
    </x:row>
    <x:row r="83">
      <x:c r="A83" s="28" t="str">
        <x:v>REG-082</x:v>
      </x:c>
      <x:c r="B83" s="28" t="str">
        <x:v>Cycle 2</x:v>
      </x:c>
      <x:c r="C83" s="28" t="str">
        <x:v>Spécialité</x:v>
      </x:c>
      <x:c r="D83" s="28" t="str">
        <x:v>3e année</x:v>
      </x:c>
      <x:c r="E83" s="28" t="str">
        <x:v>Gestion des forêts</x:v>
      </x:c>
      <x:c r="F83" s="28" t="str">
        <x:v>S6</x:v>
      </x:c>
      <x:c r="G83" s="28" t="str">
        <x:v>Projet de fin d’études</x:v>
      </x:c>
      <x:c r="H83" s="28" t="str"/>
      <x:c r="I83" s="28" t="str">
        <x:v>Expérimentation (laboratoire et/ou terrain)</x:v>
      </x:c>
      <x:c r="J83" s="29" t="n">
        <x:v>125</x:v>
      </x:c>
      <x:c r="K83" s="29"/>
      <x:c r="L83" s="29"/>
      <x:c r="M83" s="29"/>
      <x:c r="N83" s="29"/>
      <x:c r="O83" s="29"/>
      <x:c r="P83" s="29"/>
      <x:c r="Q83" s="29" t="str">
        <x:v>Activité PFE</x:v>
      </x:c>
      <x:c r="R83" s="29" t="str">
        <x:v>Arrêté n°1459 du 04/12/2024</x:v>
      </x:c>
      <x:c r="S83" s="29" t="str">
        <x:v>04/12/2024</x:v>
      </x:c>
      <x:c r="T83" s="29" t="n">
        <x:v>10</x:v>
      </x:c>
      <x:c r="U83" s="29" t="str">
        <x:v>Vérifié sur arrêté</x:v>
      </x:c>
      <x:c r="V83" s="29" t="str">
        <x:f>IF(COUNTA(K83:M83)=0,"",SUM(K83:M83))</x:f>
      </x:c>
      <x:c r="W83" s="29" t="str">
        <x:f>IF(V83="","",V83-J83)</x:f>
      </x:c>
      <x:c r="X83" s="28" t="str">
        <x:v>Travail personnel global du S6 = 375 h ; total annoncé = 750 h.</x:v>
      </x:c>
    </x:row>
    <x:row r="84">
      <x:c r="A84" s="28" t="str">
        <x:v>REG-083</x:v>
      </x:c>
      <x:c r="B84" s="28" t="str">
        <x:v>Cycle 2</x:v>
      </x:c>
      <x:c r="C84" s="28" t="str">
        <x:v>Spécialité</x:v>
      </x:c>
      <x:c r="D84" s="28" t="str">
        <x:v>3e année</x:v>
      </x:c>
      <x:c r="E84" s="28" t="str">
        <x:v>Gestion des forêts</x:v>
      </x:c>
      <x:c r="F84" s="28" t="str">
        <x:v>S6</x:v>
      </x:c>
      <x:c r="G84" s="28" t="str">
        <x:v>Projet de fin d’études</x:v>
      </x:c>
      <x:c r="H84" s="28" t="str"/>
      <x:c r="I84" s="28" t="str">
        <x:v>Rédaction</x:v>
      </x:c>
      <x:c r="J84" s="29" t="n">
        <x:v>100</x:v>
      </x:c>
      <x:c r="K84" s="29"/>
      <x:c r="L84" s="29"/>
      <x:c r="M84" s="29"/>
      <x:c r="N84" s="29"/>
      <x:c r="O84" s="29"/>
      <x:c r="P84" s="29"/>
      <x:c r="Q84" s="29" t="str">
        <x:v>Activité PFE</x:v>
      </x:c>
      <x:c r="R84" s="29" t="str">
        <x:v>Arrêté n°1459 du 04/12/2024</x:v>
      </x:c>
      <x:c r="S84" s="29" t="str">
        <x:v>04/12/2024</x:v>
      </x:c>
      <x:c r="T84" s="29" t="n">
        <x:v>10</x:v>
      </x:c>
      <x:c r="U84" s="29" t="str">
        <x:v>Vérifié sur arrêté</x:v>
      </x:c>
      <x:c r="V84" s="29" t="str">
        <x:f>IF(COUNTA(K84:M84)=0,"",SUM(K84:M84))</x:f>
      </x:c>
      <x:c r="W84" s="29" t="str">
        <x:f>IF(V84="","",V84-J84)</x:f>
      </x:c>
      <x:c r="X84" s="28" t="str">
        <x:v>Travail personnel global du S6 = 375 h ; total annoncé = 750 h.</x:v>
      </x:c>
    </x:row>
    <x:row r="85">
      <x:c r="A85" s="28" t="str">
        <x:v>REG-084</x:v>
      </x:c>
      <x:c r="B85" s="28" t="str">
        <x:v>Cycle 2</x:v>
      </x:c>
      <x:c r="C85" s="28" t="str">
        <x:v>Spécialité</x:v>
      </x:c>
      <x:c r="D85" s="28" t="str">
        <x:v>3e année</x:v>
      </x:c>
      <x:c r="E85" s="28" t="str">
        <x:v>Gestion des forêts</x:v>
      </x:c>
      <x:c r="F85" s="28" t="str">
        <x:v>S6</x:v>
      </x:c>
      <x:c r="G85" s="28" t="str">
        <x:v>Projet de fin d’études</x:v>
      </x:c>
      <x:c r="H85" s="28" t="str"/>
      <x:c r="I85" s="28" t="str">
        <x:v>Encadrement</x:v>
      </x:c>
      <x:c r="J85" s="29" t="n">
        <x:v>50</x:v>
      </x:c>
      <x:c r="K85" s="29"/>
      <x:c r="L85" s="29"/>
      <x:c r="M85" s="29"/>
      <x:c r="N85" s="29"/>
      <x:c r="O85" s="29"/>
      <x:c r="P85" s="29"/>
      <x:c r="Q85" s="29" t="str">
        <x:v>Activité PFE</x:v>
      </x:c>
      <x:c r="R85" s="29" t="str">
        <x:v>Arrêté n°1459 du 04/12/2024</x:v>
      </x:c>
      <x:c r="S85" s="29" t="str">
        <x:v>04/12/2024</x:v>
      </x:c>
      <x:c r="T85" s="29" t="n">
        <x:v>10</x:v>
      </x:c>
      <x:c r="U85" s="29" t="str">
        <x:v>Vérifié sur arrêté</x:v>
      </x:c>
      <x:c r="V85" s="29" t="str">
        <x:f>IF(COUNTA(K85:M85)=0,"",SUM(K85:M85))</x:f>
      </x:c>
      <x:c r="W85" s="29" t="str">
        <x:f>IF(V85="","",V85-J85)</x:f>
      </x:c>
      <x:c r="X85" s="28" t="str">
        <x:v>Travail personnel global du S6 = 375 h ; total annoncé = 750 h.</x:v>
      </x:c>
    </x:row>
    <x:row r="86">
      <x:c r="A86" s="28" t="str">
        <x:v>REG-085</x:v>
      </x:c>
      <x:c r="B86" s="28" t="str">
        <x:v>Cycle 2</x:v>
      </x:c>
      <x:c r="C86" s="28" t="str">
        <x:v>Spécialité</x:v>
      </x:c>
      <x:c r="D86" s="28" t="str">
        <x:v>2e année</x:v>
      </x:c>
      <x:c r="E86" s="28" t="str">
        <x:v>Géomatique appliquée à la foresterie</x:v>
      </x:c>
      <x:c r="F86" s="28" t="str">
        <x:v>S3</x:v>
      </x:c>
      <x:c r="G86" s="28" t="str">
        <x:v>UE fondamentale</x:v>
      </x:c>
      <x:c r="H86" s="28" t="str">
        <x:v>UEF 1.1</x:v>
      </x:c>
      <x:c r="I86" s="28" t="str">
        <x:v>Télédétection forestière (Atelier)</x:v>
      </x:c>
      <x:c r="J86" s="29" t="n">
        <x:v>45</x:v>
      </x:c>
      <x:c r="K86" s="29" t="n">
        <x:v>24</x:v>
      </x:c>
      <x:c r="L86" s="29" t="n">
        <x:v>0</x:v>
      </x:c>
      <x:c r="M86" s="29" t="n">
        <x:v>21</x:v>
      </x:c>
      <x:c r="N86" s="29" t="n">
        <x:v>45</x:v>
      </x:c>
      <x:c r="O86" s="29" t="n">
        <x:v>2</x:v>
      </x:c>
      <x:c r="P86" s="29" t="n">
        <x:v>5</x:v>
      </x:c>
      <x:c r="Q86" s="29" t="str">
        <x:v>Enseignement</x:v>
      </x:c>
      <x:c r="R86" s="29" t="str">
        <x:v>Arrêté n°1458 du 04/12/2024</x:v>
      </x:c>
      <x:c r="S86" s="29" t="str">
        <x:v>04/12/2024</x:v>
      </x:c>
      <x:c r="T86" s="29" t="n">
        <x:v>8</x:v>
      </x:c>
      <x:c r="U86" s="29" t="str">
        <x:v>Vérifié sur arrêté</x:v>
      </x:c>
      <x:c r="V86" s="29" t="n">
        <x:f>IF(COUNTA(K86:M86)=0,"",SUM(K86:M86))</x:f>
        <x:v>45</x:v>
      </x:c>
      <x:c r="W86" s="29" t="n">
        <x:f>IF(V86="","",V86-J86)</x:f>
        <x:v>0</x:v>
      </x:c>
      <x:c r="X86" s="28" t="str"/>
    </x:row>
    <x:row r="87">
      <x:c r="A87" s="28" t="str">
        <x:v>REG-086</x:v>
      </x:c>
      <x:c r="B87" s="28" t="str">
        <x:v>Cycle 2</x:v>
      </x:c>
      <x:c r="C87" s="28" t="str">
        <x:v>Spécialité</x:v>
      </x:c>
      <x:c r="D87" s="28" t="str">
        <x:v>2e année</x:v>
      </x:c>
      <x:c r="E87" s="28" t="str">
        <x:v>Géomatique appliquée à la foresterie</x:v>
      </x:c>
      <x:c r="F87" s="28" t="str">
        <x:v>S3</x:v>
      </x:c>
      <x:c r="G87" s="28" t="str">
        <x:v>UE fondamentale</x:v>
      </x:c>
      <x:c r="H87" s="28" t="str">
        <x:v>UEF 1.1</x:v>
      </x:c>
      <x:c r="I87" s="28" t="str">
        <x:v>Système de gestion de base de données</x:v>
      </x:c>
      <x:c r="J87" s="29" t="n">
        <x:v>45</x:v>
      </x:c>
      <x:c r="K87" s="29" t="n">
        <x:v>24</x:v>
      </x:c>
      <x:c r="L87" s="29" t="n">
        <x:v>0</x:v>
      </x:c>
      <x:c r="M87" s="29" t="n">
        <x:v>21</x:v>
      </x:c>
      <x:c r="N87" s="29" t="n">
        <x:v>45</x:v>
      </x:c>
      <x:c r="O87" s="29" t="n">
        <x:v>2</x:v>
      </x:c>
      <x:c r="P87" s="29" t="n">
        <x:v>5</x:v>
      </x:c>
      <x:c r="Q87" s="29" t="str">
        <x:v>Enseignement</x:v>
      </x:c>
      <x:c r="R87" s="29" t="str">
        <x:v>Arrêté n°1458 du 04/12/2024</x:v>
      </x:c>
      <x:c r="S87" s="29" t="str">
        <x:v>04/12/2024</x:v>
      </x:c>
      <x:c r="T87" s="29" t="n">
        <x:v>8</x:v>
      </x:c>
      <x:c r="U87" s="29" t="str">
        <x:v>Vérifié sur arrêté</x:v>
      </x:c>
      <x:c r="V87" s="29" t="n">
        <x:f>IF(COUNTA(K87:M87)=0,"",SUM(K87:M87))</x:f>
        <x:v>45</x:v>
      </x:c>
      <x:c r="W87" s="29" t="n">
        <x:f>IF(V87="","",V87-J87)</x:f>
        <x:v>0</x:v>
      </x:c>
      <x:c r="X87" s="28" t="str"/>
    </x:row>
    <x:row r="88">
      <x:c r="A88" s="28" t="str">
        <x:v>REG-087</x:v>
      </x:c>
      <x:c r="B88" s="28" t="str">
        <x:v>Cycle 2</x:v>
      </x:c>
      <x:c r="C88" s="28" t="str">
        <x:v>Spécialité</x:v>
      </x:c>
      <x:c r="D88" s="28" t="str">
        <x:v>2e année</x:v>
      </x:c>
      <x:c r="E88" s="28" t="str">
        <x:v>Géomatique appliquée à la foresterie</x:v>
      </x:c>
      <x:c r="F88" s="28" t="str">
        <x:v>S3</x:v>
      </x:c>
      <x:c r="G88" s="28" t="str">
        <x:v>UE fondamentale</x:v>
      </x:c>
      <x:c r="H88" s="28" t="str">
        <x:v>UEF 1.2</x:v>
      </x:c>
      <x:c r="I88" s="28" t="str">
        <x:v>Sylviculture générale et appliquée</x:v>
      </x:c>
      <x:c r="J88" s="29" t="n">
        <x:v>45</x:v>
      </x:c>
      <x:c r="K88" s="29" t="n">
        <x:v>30</x:v>
      </x:c>
      <x:c r="L88" s="29" t="n">
        <x:v>0</x:v>
      </x:c>
      <x:c r="M88" s="29" t="n">
        <x:v>15</x:v>
      </x:c>
      <x:c r="N88" s="29" t="n">
        <x:v>45</x:v>
      </x:c>
      <x:c r="O88" s="29" t="n">
        <x:v>2</x:v>
      </x:c>
      <x:c r="P88" s="29" t="n">
        <x:v>4</x:v>
      </x:c>
      <x:c r="Q88" s="29" t="str">
        <x:v>Enseignement</x:v>
      </x:c>
      <x:c r="R88" s="29" t="str">
        <x:v>Arrêté n°1458 du 04/12/2024</x:v>
      </x:c>
      <x:c r="S88" s="29" t="str">
        <x:v>04/12/2024</x:v>
      </x:c>
      <x:c r="T88" s="29" t="n">
        <x:v>8</x:v>
      </x:c>
      <x:c r="U88" s="29" t="str">
        <x:v>Vérifié sur arrêté</x:v>
      </x:c>
      <x:c r="V88" s="29" t="n">
        <x:f>IF(COUNTA(K88:M88)=0,"",SUM(K88:M88))</x:f>
        <x:v>45</x:v>
      </x:c>
      <x:c r="W88" s="29" t="n">
        <x:f>IF(V88="","",V88-J88)</x:f>
        <x:v>0</x:v>
      </x:c>
      <x:c r="X88" s="28" t="str"/>
    </x:row>
    <x:row r="89">
      <x:c r="A89" s="28" t="str">
        <x:v>REG-088</x:v>
      </x:c>
      <x:c r="B89" s="28" t="str">
        <x:v>Cycle 2</x:v>
      </x:c>
      <x:c r="C89" s="28" t="str">
        <x:v>Spécialité</x:v>
      </x:c>
      <x:c r="D89" s="28" t="str">
        <x:v>2e année</x:v>
      </x:c>
      <x:c r="E89" s="28" t="str">
        <x:v>Géomatique appliquée à la foresterie</x:v>
      </x:c>
      <x:c r="F89" s="28" t="str">
        <x:v>S3</x:v>
      </x:c>
      <x:c r="G89" s="28" t="str">
        <x:v>UE fondamentale</x:v>
      </x:c>
      <x:c r="H89" s="28" t="str">
        <x:v>UEF 1.2</x:v>
      </x:c>
      <x:c r="I89" s="28" t="str">
        <x:v>Défense et restauration des sols (DRS)</x:v>
      </x:c>
      <x:c r="J89" s="29" t="n">
        <x:v>45</x:v>
      </x:c>
      <x:c r="K89" s="29" t="n">
        <x:v>30</x:v>
      </x:c>
      <x:c r="L89" s="29" t="n">
        <x:v>0</x:v>
      </x:c>
      <x:c r="M89" s="29" t="n">
        <x:v>15</x:v>
      </x:c>
      <x:c r="N89" s="29" t="n">
        <x:v>45</x:v>
      </x:c>
      <x:c r="O89" s="29" t="n">
        <x:v>2</x:v>
      </x:c>
      <x:c r="P89" s="29" t="n">
        <x:v>4</x:v>
      </x:c>
      <x:c r="Q89" s="29" t="str">
        <x:v>Enseignement</x:v>
      </x:c>
      <x:c r="R89" s="29" t="str">
        <x:v>Arrêté n°1458 du 04/12/2024</x:v>
      </x:c>
      <x:c r="S89" s="29" t="str">
        <x:v>04/12/2024</x:v>
      </x:c>
      <x:c r="T89" s="29" t="n">
        <x:v>8</x:v>
      </x:c>
      <x:c r="U89" s="29" t="str">
        <x:v>Vérifié sur arrêté</x:v>
      </x:c>
      <x:c r="V89" s="29" t="n">
        <x:f>IF(COUNTA(K89:M89)=0,"",SUM(K89:M89))</x:f>
        <x:v>45</x:v>
      </x:c>
      <x:c r="W89" s="29" t="n">
        <x:f>IF(V89="","",V89-J89)</x:f>
        <x:v>0</x:v>
      </x:c>
      <x:c r="X89" s="28" t="str"/>
    </x:row>
    <x:row r="90">
      <x:c r="A90" s="28" t="str">
        <x:v>REG-089</x:v>
      </x:c>
      <x:c r="B90" s="28" t="str">
        <x:v>Cycle 2</x:v>
      </x:c>
      <x:c r="C90" s="28" t="str">
        <x:v>Spécialité</x:v>
      </x:c>
      <x:c r="D90" s="28" t="str">
        <x:v>2e année</x:v>
      </x:c>
      <x:c r="E90" s="28" t="str">
        <x:v>Géomatique appliquée à la foresterie</x:v>
      </x:c>
      <x:c r="F90" s="28" t="str">
        <x:v>S3</x:v>
      </x:c>
      <x:c r="G90" s="28" t="str">
        <x:v>UE méthodologique</x:v>
      </x:c>
      <x:c r="H90" s="28" t="str">
        <x:v>UEM 1.1</x:v>
      </x:c>
      <x:c r="I90" s="28" t="str">
        <x:v>Géodésie</x:v>
      </x:c>
      <x:c r="J90" s="29" t="n">
        <x:v>30</x:v>
      </x:c>
      <x:c r="K90" s="29" t="n">
        <x:v>15</x:v>
      </x:c>
      <x:c r="L90" s="29" t="n">
        <x:v>15</x:v>
      </x:c>
      <x:c r="M90" s="29" t="n">
        <x:v>0</x:v>
      </x:c>
      <x:c r="N90" s="29" t="n">
        <x:v>30</x:v>
      </x:c>
      <x:c r="O90" s="29" t="n">
        <x:v>1</x:v>
      </x:c>
      <x:c r="P90" s="29" t="n">
        <x:v>2</x:v>
      </x:c>
      <x:c r="Q90" s="29" t="str">
        <x:v>Enseignement</x:v>
      </x:c>
      <x:c r="R90" s="29" t="str">
        <x:v>Arrêté n°1458 du 04/12/2024</x:v>
      </x:c>
      <x:c r="S90" s="29" t="str">
        <x:v>04/12/2024</x:v>
      </x:c>
      <x:c r="T90" s="29" t="n">
        <x:v>8</x:v>
      </x:c>
      <x:c r="U90" s="29" t="str">
        <x:v>Vérifié sur arrêté</x:v>
      </x:c>
      <x:c r="V90" s="29" t="n">
        <x:f>IF(COUNTA(K90:M90)=0,"",SUM(K90:M90))</x:f>
        <x:v>30</x:v>
      </x:c>
      <x:c r="W90" s="29" t="n">
        <x:f>IF(V90="","",V90-J90)</x:f>
        <x:v>0</x:v>
      </x:c>
      <x:c r="X90" s="28" t="str"/>
    </x:row>
    <x:row r="91">
      <x:c r="A91" s="28" t="str">
        <x:v>REG-090</x:v>
      </x:c>
      <x:c r="B91" s="28" t="str">
        <x:v>Cycle 2</x:v>
      </x:c>
      <x:c r="C91" s="28" t="str">
        <x:v>Spécialité</x:v>
      </x:c>
      <x:c r="D91" s="28" t="str">
        <x:v>2e année</x:v>
      </x:c>
      <x:c r="E91" s="28" t="str">
        <x:v>Géomatique appliquée à la foresterie</x:v>
      </x:c>
      <x:c r="F91" s="28" t="str">
        <x:v>S3</x:v>
      </x:c>
      <x:c r="G91" s="28" t="str">
        <x:v>UE méthodologique</x:v>
      </x:c>
      <x:c r="H91" s="28" t="str">
        <x:v>UEM 1.1</x:v>
      </x:c>
      <x:c r="I91" s="28" t="str">
        <x:v>Analyse cartographique et infographique</x:v>
      </x:c>
      <x:c r="J91" s="29" t="n">
        <x:v>30</x:v>
      </x:c>
      <x:c r="K91" s="29" t="n">
        <x:v>15</x:v>
      </x:c>
      <x:c r="L91" s="29" t="n">
        <x:v>0</x:v>
      </x:c>
      <x:c r="M91" s="29" t="n">
        <x:v>15</x:v>
      </x:c>
      <x:c r="N91" s="29" t="n">
        <x:v>30</x:v>
      </x:c>
      <x:c r="O91" s="29" t="n">
        <x:v>2</x:v>
      </x:c>
      <x:c r="P91" s="29" t="n">
        <x:v>2</x:v>
      </x:c>
      <x:c r="Q91" s="29" t="str">
        <x:v>Enseignement</x:v>
      </x:c>
      <x:c r="R91" s="29" t="str">
        <x:v>Arrêté n°1458 du 04/12/2024</x:v>
      </x:c>
      <x:c r="S91" s="29" t="str">
        <x:v>04/12/2024</x:v>
      </x:c>
      <x:c r="T91" s="29" t="n">
        <x:v>8</x:v>
      </x:c>
      <x:c r="U91" s="29" t="str">
        <x:v>Vérifié sur arrêté</x:v>
      </x:c>
      <x:c r="V91" s="29" t="n">
        <x:f>IF(COUNTA(K91:M91)=0,"",SUM(K91:M91))</x:f>
        <x:v>30</x:v>
      </x:c>
      <x:c r="W91" s="29" t="n">
        <x:f>IF(V91="","",V91-J91)</x:f>
        <x:v>0</x:v>
      </x:c>
      <x:c r="X91" s="28" t="str"/>
    </x:row>
    <x:row r="92">
      <x:c r="A92" s="28" t="str">
        <x:v>REG-091</x:v>
      </x:c>
      <x:c r="B92" s="28" t="str">
        <x:v>Cycle 2</x:v>
      </x:c>
      <x:c r="C92" s="28" t="str">
        <x:v>Spécialité</x:v>
      </x:c>
      <x:c r="D92" s="28" t="str">
        <x:v>2e année</x:v>
      </x:c>
      <x:c r="E92" s="28" t="str">
        <x:v>Géomatique appliquée à la foresterie</x:v>
      </x:c>
      <x:c r="F92" s="28" t="str">
        <x:v>S3</x:v>
      </x:c>
      <x:c r="G92" s="28" t="str">
        <x:v>UE méthodologique</x:v>
      </x:c>
      <x:c r="H92" s="28" t="str">
        <x:v>UEM 1.2</x:v>
      </x:c>
      <x:c r="I92" s="28" t="str">
        <x:v>Expérimentation forestière</x:v>
      </x:c>
      <x:c r="J92" s="29" t="n">
        <x:v>45</x:v>
      </x:c>
      <x:c r="K92" s="29" t="n">
        <x:v>15</x:v>
      </x:c>
      <x:c r="L92" s="29" t="n">
        <x:v>0</x:v>
      </x:c>
      <x:c r="M92" s="29" t="n">
        <x:v>30</x:v>
      </x:c>
      <x:c r="N92" s="29" t="n">
        <x:v>45</x:v>
      </x:c>
      <x:c r="O92" s="29" t="n">
        <x:v>2</x:v>
      </x:c>
      <x:c r="P92" s="29" t="n">
        <x:v>3</x:v>
      </x:c>
      <x:c r="Q92" s="29" t="str">
        <x:v>Enseignement</x:v>
      </x:c>
      <x:c r="R92" s="29" t="str">
        <x:v>Arrêté n°1458 du 04/12/2024</x:v>
      </x:c>
      <x:c r="S92" s="29" t="str">
        <x:v>04/12/2024</x:v>
      </x:c>
      <x:c r="T92" s="29" t="n">
        <x:v>8</x:v>
      </x:c>
      <x:c r="U92" s="29" t="str">
        <x:v>Vérifié sur arrêté</x:v>
      </x:c>
      <x:c r="V92" s="29" t="n">
        <x:f>IF(COUNTA(K92:M92)=0,"",SUM(K92:M92))</x:f>
        <x:v>45</x:v>
      </x:c>
      <x:c r="W92" s="29" t="n">
        <x:f>IF(V92="","",V92-J92)</x:f>
        <x:v>0</x:v>
      </x:c>
      <x:c r="X92" s="28" t="str"/>
    </x:row>
    <x:row r="93">
      <x:c r="A93" s="28" t="str">
        <x:v>REG-092</x:v>
      </x:c>
      <x:c r="B93" s="28" t="str">
        <x:v>Cycle 2</x:v>
      </x:c>
      <x:c r="C93" s="28" t="str">
        <x:v>Spécialité</x:v>
      </x:c>
      <x:c r="D93" s="28" t="str">
        <x:v>2e année</x:v>
      </x:c>
      <x:c r="E93" s="28" t="str">
        <x:v>Géomatique appliquée à la foresterie</x:v>
      </x:c>
      <x:c r="F93" s="28" t="str">
        <x:v>S3</x:v>
      </x:c>
      <x:c r="G93" s="28" t="str">
        <x:v>UE méthodologique</x:v>
      </x:c>
      <x:c r="H93" s="28" t="str">
        <x:v>UEM 1.2</x:v>
      </x:c>
      <x:c r="I93" s="28" t="str">
        <x:v>Zoologie et méthodes d’inventaire</x:v>
      </x:c>
      <x:c r="J93" s="29" t="n">
        <x:v>30</x:v>
      </x:c>
      <x:c r="K93" s="29" t="n">
        <x:v>15</x:v>
      </x:c>
      <x:c r="L93" s="29" t="n">
        <x:v>0</x:v>
      </x:c>
      <x:c r="M93" s="29" t="n">
        <x:v>15</x:v>
      </x:c>
      <x:c r="N93" s="29" t="n">
        <x:v>30</x:v>
      </x:c>
      <x:c r="O93" s="29" t="n">
        <x:v>1</x:v>
      </x:c>
      <x:c r="P93" s="29" t="n">
        <x:v>2</x:v>
      </x:c>
      <x:c r="Q93" s="29" t="str">
        <x:v>Enseignement</x:v>
      </x:c>
      <x:c r="R93" s="29" t="str">
        <x:v>Arrêté n°1458 du 04/12/2024</x:v>
      </x:c>
      <x:c r="S93" s="29" t="str">
        <x:v>04/12/2024</x:v>
      </x:c>
      <x:c r="T93" s="29" t="n">
        <x:v>8</x:v>
      </x:c>
      <x:c r="U93" s="29" t="str">
        <x:v>Vérifié sur arrêté</x:v>
      </x:c>
      <x:c r="V93" s="29" t="n">
        <x:f>IF(COUNTA(K93:M93)=0,"",SUM(K93:M93))</x:f>
        <x:v>30</x:v>
      </x:c>
      <x:c r="W93" s="29" t="n">
        <x:f>IF(V93="","",V93-J93)</x:f>
        <x:v>0</x:v>
      </x:c>
      <x:c r="X93" s="28" t="str"/>
    </x:row>
    <x:row r="94">
      <x:c r="A94" s="28" t="str">
        <x:v>REG-093</x:v>
      </x:c>
      <x:c r="B94" s="28" t="str">
        <x:v>Cycle 2</x:v>
      </x:c>
      <x:c r="C94" s="28" t="str">
        <x:v>Spécialité</x:v>
      </x:c>
      <x:c r="D94" s="28" t="str">
        <x:v>2e année</x:v>
      </x:c>
      <x:c r="E94" s="28" t="str">
        <x:v>Géomatique appliquée à la foresterie</x:v>
      </x:c>
      <x:c r="F94" s="28" t="str">
        <x:v>S3</x:v>
      </x:c>
      <x:c r="G94" s="28" t="str">
        <x:v>UE découverte</x:v>
      </x:c>
      <x:c r="H94" s="28" t="str">
        <x:v>UED 1.1</x:v>
      </x:c>
      <x:c r="I94" s="28" t="str">
        <x:v>Agroforesterie</x:v>
      </x:c>
      <x:c r="J94" s="29" t="n">
        <x:v>15</x:v>
      </x:c>
      <x:c r="K94" s="29" t="n">
        <x:v>15</x:v>
      </x:c>
      <x:c r="L94" s="29" t="n">
        <x:v>0</x:v>
      </x:c>
      <x:c r="M94" s="29" t="n">
        <x:v>0</x:v>
      </x:c>
      <x:c r="N94" s="29" t="n">
        <x:v>15</x:v>
      </x:c>
      <x:c r="O94" s="29" t="n">
        <x:v>1</x:v>
      </x:c>
      <x:c r="P94" s="29" t="n">
        <x:v>1</x:v>
      </x:c>
      <x:c r="Q94" s="29" t="str">
        <x:v>Enseignement</x:v>
      </x:c>
      <x:c r="R94" s="29" t="str">
        <x:v>Arrêté n°1458 du 04/12/2024</x:v>
      </x:c>
      <x:c r="S94" s="29" t="str">
        <x:v>04/12/2024</x:v>
      </x:c>
      <x:c r="T94" s="29" t="n">
        <x:v>8</x:v>
      </x:c>
      <x:c r="U94" s="29" t="str">
        <x:v>Vérifié sur arrêté</x:v>
      </x:c>
      <x:c r="V94" s="29" t="n">
        <x:f>IF(COUNTA(K94:M94)=0,"",SUM(K94:M94))</x:f>
        <x:v>15</x:v>
      </x:c>
      <x:c r="W94" s="29" t="n">
        <x:f>IF(V94="","",V94-J94)</x:f>
        <x:v>0</x:v>
      </x:c>
      <x:c r="X94" s="28" t="str"/>
    </x:row>
    <x:row r="95">
      <x:c r="A95" s="28" t="str">
        <x:v>REG-094</x:v>
      </x:c>
      <x:c r="B95" s="28" t="str">
        <x:v>Cycle 2</x:v>
      </x:c>
      <x:c r="C95" s="28" t="str">
        <x:v>Spécialité</x:v>
      </x:c>
      <x:c r="D95" s="28" t="str">
        <x:v>2e année</x:v>
      </x:c>
      <x:c r="E95" s="28" t="str">
        <x:v>Géomatique appliquée à la foresterie</x:v>
      </x:c>
      <x:c r="F95" s="28" t="str">
        <x:v>S3</x:v>
      </x:c>
      <x:c r="G95" s="28" t="str">
        <x:v>UE découverte</x:v>
      </x:c>
      <x:c r="H95" s="28" t="str">
        <x:v>UED 1.1</x:v>
      </x:c>
      <x:c r="I95" s="28" t="str">
        <x:v>Droit de l’environnement</x:v>
      </x:c>
      <x:c r="J95" s="29" t="n">
        <x:v>15</x:v>
      </x:c>
      <x:c r="K95" s="29" t="n">
        <x:v>15</x:v>
      </x:c>
      <x:c r="L95" s="29" t="n">
        <x:v>0</x:v>
      </x:c>
      <x:c r="M95" s="29" t="n">
        <x:v>0</x:v>
      </x:c>
      <x:c r="N95" s="29" t="n">
        <x:v>15</x:v>
      </x:c>
      <x:c r="O95" s="29" t="n">
        <x:v>1</x:v>
      </x:c>
      <x:c r="P95" s="29" t="n">
        <x:v>1</x:v>
      </x:c>
      <x:c r="Q95" s="29" t="str">
        <x:v>Enseignement</x:v>
      </x:c>
      <x:c r="R95" s="29" t="str">
        <x:v>Arrêté n°1458 du 04/12/2024</x:v>
      </x:c>
      <x:c r="S95" s="29" t="str">
        <x:v>04/12/2024</x:v>
      </x:c>
      <x:c r="T95" s="29" t="n">
        <x:v>8</x:v>
      </x:c>
      <x:c r="U95" s="29" t="str">
        <x:v>Vérifié sur arrêté</x:v>
      </x:c>
      <x:c r="V95" s="29" t="n">
        <x:f>IF(COUNTA(K95:M95)=0,"",SUM(K95:M95))</x:f>
        <x:v>15</x:v>
      </x:c>
      <x:c r="W95" s="29" t="n">
        <x:f>IF(V95="","",V95-J95)</x:f>
        <x:v>0</x:v>
      </x:c>
      <x:c r="X95" s="28" t="str"/>
    </x:row>
    <x:row r="96">
      <x:c r="A96" s="28" t="str">
        <x:v>REG-095</x:v>
      </x:c>
      <x:c r="B96" s="28" t="str">
        <x:v>Cycle 2</x:v>
      </x:c>
      <x:c r="C96" s="28" t="str">
        <x:v>Spécialité</x:v>
      </x:c>
      <x:c r="D96" s="28" t="str">
        <x:v>2e année</x:v>
      </x:c>
      <x:c r="E96" s="28" t="str">
        <x:v>Géomatique appliquée à la foresterie</x:v>
      </x:c>
      <x:c r="F96" s="28" t="str">
        <x:v>S3</x:v>
      </x:c>
      <x:c r="G96" s="28" t="str">
        <x:v>UE transversale</x:v>
      </x:c>
      <x:c r="H96" s="28" t="str">
        <x:v>UET 1.1</x:v>
      </x:c>
      <x:c r="I96" s="28" t="str">
        <x:v>Communications scientifiques</x:v>
      </x:c>
      <x:c r="J96" s="29" t="n">
        <x:v>30</x:v>
      </x:c>
      <x:c r="K96" s="29" t="n">
        <x:v>15</x:v>
      </x:c>
      <x:c r="L96" s="29" t="n">
        <x:v>0</x:v>
      </x:c>
      <x:c r="M96" s="29" t="n">
        <x:v>15</x:v>
      </x:c>
      <x:c r="N96" s="29" t="n">
        <x:v>30</x:v>
      </x:c>
      <x:c r="O96" s="29" t="n">
        <x:v>1</x:v>
      </x:c>
      <x:c r="P96" s="29" t="n">
        <x:v>1</x:v>
      </x:c>
      <x:c r="Q96" s="29" t="str">
        <x:v>Enseignement</x:v>
      </x:c>
      <x:c r="R96" s="29" t="str">
        <x:v>Arrêté n°1458 du 04/12/2024</x:v>
      </x:c>
      <x:c r="S96" s="29" t="str">
        <x:v>04/12/2024</x:v>
      </x:c>
      <x:c r="T96" s="29" t="n">
        <x:v>8</x:v>
      </x:c>
      <x:c r="U96" s="29" t="str">
        <x:v>Vérifié sur arrêté</x:v>
      </x:c>
      <x:c r="V96" s="29" t="n">
        <x:f>IF(COUNTA(K96:M96)=0,"",SUM(K96:M96))</x:f>
        <x:v>30</x:v>
      </x:c>
      <x:c r="W96" s="29" t="n">
        <x:f>IF(V96="","",V96-J96)</x:f>
        <x:v>0</x:v>
      </x:c>
      <x:c r="X96" s="28" t="str"/>
    </x:row>
    <x:row r="97">
      <x:c r="A97" s="28" t="str">
        <x:v>REG-096</x:v>
      </x:c>
      <x:c r="B97" s="28" t="str">
        <x:v>Cycle 2</x:v>
      </x:c>
      <x:c r="C97" s="28" t="str">
        <x:v>Spécialité</x:v>
      </x:c>
      <x:c r="D97" s="28" t="str">
        <x:v>2e année</x:v>
      </x:c>
      <x:c r="E97" s="28" t="str">
        <x:v>Géomatique appliquée à la foresterie</x:v>
      </x:c>
      <x:c r="F97" s="28" t="str">
        <x:v>S4</x:v>
      </x:c>
      <x:c r="G97" s="28" t="str">
        <x:v>UE fondamentale</x:v>
      </x:c>
      <x:c r="H97" s="28" t="str">
        <x:v>UEF 1.1</x:v>
      </x:c>
      <x:c r="I97" s="28" t="str">
        <x:v>Modélisation géomatique forestière (Atelier)</x:v>
      </x:c>
      <x:c r="J97" s="29" t="n">
        <x:v>60</x:v>
      </x:c>
      <x:c r="K97" s="29" t="n">
        <x:v>15</x:v>
      </x:c>
      <x:c r="L97" s="29" t="n">
        <x:v>0</x:v>
      </x:c>
      <x:c r="M97" s="29" t="n">
        <x:v>45</x:v>
      </x:c>
      <x:c r="N97" s="29" t="n">
        <x:v>60</x:v>
      </x:c>
      <x:c r="O97" s="29" t="n">
        <x:v>3</x:v>
      </x:c>
      <x:c r="P97" s="29" t="n">
        <x:v>5</x:v>
      </x:c>
      <x:c r="Q97" s="29" t="str">
        <x:v>Enseignement</x:v>
      </x:c>
      <x:c r="R97" s="29" t="str">
        <x:v>Arrêté n°1458 du 04/12/2024</x:v>
      </x:c>
      <x:c r="S97" s="29" t="str">
        <x:v>04/12/2024</x:v>
      </x:c>
      <x:c r="T97" s="29" t="n">
        <x:v>7</x:v>
      </x:c>
      <x:c r="U97" s="29" t="str">
        <x:v>Vérifié sur arrêté</x:v>
      </x:c>
      <x:c r="V97" s="29" t="n">
        <x:f>IF(COUNTA(K97:M97)=0,"",SUM(K97:M97))</x:f>
        <x:v>60</x:v>
      </x:c>
      <x:c r="W97" s="29" t="n">
        <x:f>IF(V97="","",V97-J97)</x:f>
        <x:v>0</x:v>
      </x:c>
      <x:c r="X97" s="28" t="str"/>
    </x:row>
    <x:row r="98">
      <x:c r="A98" s="28" t="str">
        <x:v>REG-097</x:v>
      </x:c>
      <x:c r="B98" s="28" t="str">
        <x:v>Cycle 2</x:v>
      </x:c>
      <x:c r="C98" s="28" t="str">
        <x:v>Spécialité</x:v>
      </x:c>
      <x:c r="D98" s="28" t="str">
        <x:v>2e année</x:v>
      </x:c>
      <x:c r="E98" s="28" t="str">
        <x:v>Géomatique appliquée à la foresterie</x:v>
      </x:c>
      <x:c r="F98" s="28" t="str">
        <x:v>S4</x:v>
      </x:c>
      <x:c r="G98" s="28" t="str">
        <x:v>UE fondamentale</x:v>
      </x:c>
      <x:c r="H98" s="28" t="str">
        <x:v>UEF 1.1</x:v>
      </x:c>
      <x:c r="I98" s="28" t="str">
        <x:v>Géo-informatique</x:v>
      </x:c>
      <x:c r="J98" s="29" t="n">
        <x:v>45</x:v>
      </x:c>
      <x:c r="K98" s="29" t="n">
        <x:v>15</x:v>
      </x:c>
      <x:c r="L98" s="29" t="n">
        <x:v>0</x:v>
      </x:c>
      <x:c r="M98" s="29" t="n">
        <x:v>30</x:v>
      </x:c>
      <x:c r="N98" s="29" t="n">
        <x:v>45</x:v>
      </x:c>
      <x:c r="O98" s="29" t="n">
        <x:v>2</x:v>
      </x:c>
      <x:c r="P98" s="29" t="n">
        <x:v>4</x:v>
      </x:c>
      <x:c r="Q98" s="29" t="str">
        <x:v>Enseignement</x:v>
      </x:c>
      <x:c r="R98" s="29" t="str">
        <x:v>Arrêté n°1458 du 04/12/2024</x:v>
      </x:c>
      <x:c r="S98" s="29" t="str">
        <x:v>04/12/2024</x:v>
      </x:c>
      <x:c r="T98" s="29" t="n">
        <x:v>7</x:v>
      </x:c>
      <x:c r="U98" s="29" t="str">
        <x:v>Vérifié sur arrêté</x:v>
      </x:c>
      <x:c r="V98" s="29" t="n">
        <x:f>IF(COUNTA(K98:M98)=0,"",SUM(K98:M98))</x:f>
        <x:v>45</x:v>
      </x:c>
      <x:c r="W98" s="29" t="n">
        <x:f>IF(V98="","",V98-J98)</x:f>
        <x:v>0</x:v>
      </x:c>
      <x:c r="X98" s="28" t="str"/>
    </x:row>
    <x:row r="99">
      <x:c r="A99" s="28" t="str">
        <x:v>REG-098</x:v>
      </x:c>
      <x:c r="B99" s="28" t="str">
        <x:v>Cycle 2</x:v>
      </x:c>
      <x:c r="C99" s="28" t="str">
        <x:v>Spécialité</x:v>
      </x:c>
      <x:c r="D99" s="28" t="str">
        <x:v>2e année</x:v>
      </x:c>
      <x:c r="E99" s="28" t="str">
        <x:v>Géomatique appliquée à la foresterie</x:v>
      </x:c>
      <x:c r="F99" s="28" t="str">
        <x:v>S4</x:v>
      </x:c>
      <x:c r="G99" s="28" t="str">
        <x:v>UE fondamentale</x:v>
      </x:c>
      <x:c r="H99" s="28" t="str">
        <x:v>UEF 1.2</x:v>
      </x:c>
      <x:c r="I99" s="28" t="str">
        <x:v>Gestion et aménagement forestier</x:v>
      </x:c>
      <x:c r="J99" s="29" t="n">
        <x:v>45</x:v>
      </x:c>
      <x:c r="K99" s="29" t="n">
        <x:v>30</x:v>
      </x:c>
      <x:c r="L99" s="29" t="n">
        <x:v>0</x:v>
      </x:c>
      <x:c r="M99" s="29" t="n">
        <x:v>15</x:v>
      </x:c>
      <x:c r="N99" s="29" t="n">
        <x:v>45</x:v>
      </x:c>
      <x:c r="O99" s="29" t="n">
        <x:v>2</x:v>
      </x:c>
      <x:c r="P99" s="29" t="n">
        <x:v>5</x:v>
      </x:c>
      <x:c r="Q99" s="29" t="str">
        <x:v>Enseignement</x:v>
      </x:c>
      <x:c r="R99" s="29" t="str">
        <x:v>Arrêté n°1458 du 04/12/2024</x:v>
      </x:c>
      <x:c r="S99" s="29" t="str">
        <x:v>04/12/2024</x:v>
      </x:c>
      <x:c r="T99" s="29" t="n">
        <x:v>7</x:v>
      </x:c>
      <x:c r="U99" s="29" t="str">
        <x:v>Vérifié sur arrêté</x:v>
      </x:c>
      <x:c r="V99" s="29" t="n">
        <x:f>IF(COUNTA(K99:M99)=0,"",SUM(K99:M99))</x:f>
        <x:v>45</x:v>
      </x:c>
      <x:c r="W99" s="29" t="n">
        <x:f>IF(V99="","",V99-J99)</x:f>
        <x:v>0</x:v>
      </x:c>
      <x:c r="X99" s="28" t="str"/>
    </x:row>
    <x:row r="100">
      <x:c r="A100" s="28" t="str">
        <x:v>REG-099</x:v>
      </x:c>
      <x:c r="B100" s="28" t="str">
        <x:v>Cycle 2</x:v>
      </x:c>
      <x:c r="C100" s="28" t="str">
        <x:v>Spécialité</x:v>
      </x:c>
      <x:c r="D100" s="28" t="str">
        <x:v>2e année</x:v>
      </x:c>
      <x:c r="E100" s="28" t="str">
        <x:v>Géomatique appliquée à la foresterie</x:v>
      </x:c>
      <x:c r="F100" s="28" t="str">
        <x:v>S4</x:v>
      </x:c>
      <x:c r="G100" s="28" t="str">
        <x:v>UE fondamentale</x:v>
      </x:c>
      <x:c r="H100" s="28" t="str">
        <x:v>UEF 1.2</x:v>
      </x:c>
      <x:c r="I100" s="28" t="str">
        <x:v>Pathologie forestière</x:v>
      </x:c>
      <x:c r="J100" s="29" t="n">
        <x:v>45</x:v>
      </x:c>
      <x:c r="K100" s="29" t="n">
        <x:v>30</x:v>
      </x:c>
      <x:c r="L100" s="29" t="n">
        <x:v>0</x:v>
      </x:c>
      <x:c r="M100" s="29" t="n">
        <x:v>15</x:v>
      </x:c>
      <x:c r="N100" s="29" t="n">
        <x:v>45</x:v>
      </x:c>
      <x:c r="O100" s="29" t="n">
        <x:v>2</x:v>
      </x:c>
      <x:c r="P100" s="29" t="n">
        <x:v>5</x:v>
      </x:c>
      <x:c r="Q100" s="29" t="str">
        <x:v>Enseignement</x:v>
      </x:c>
      <x:c r="R100" s="29" t="str">
        <x:v>Arrêté n°1458 du 04/12/2024</x:v>
      </x:c>
      <x:c r="S100" s="29" t="str">
        <x:v>04/12/2024</x:v>
      </x:c>
      <x:c r="T100" s="29" t="n">
        <x:v>7</x:v>
      </x:c>
      <x:c r="U100" s="29" t="str">
        <x:v>Vérifié sur arrêté</x:v>
      </x:c>
      <x:c r="V100" s="29" t="n">
        <x:f>IF(COUNTA(K100:M100)=0,"",SUM(K100:M100))</x:f>
        <x:v>45</x:v>
      </x:c>
      <x:c r="W100" s="29" t="n">
        <x:f>IF(V100="","",V100-J100)</x:f>
        <x:v>0</x:v>
      </x:c>
      <x:c r="X100" s="28" t="str"/>
    </x:row>
    <x:row r="101">
      <x:c r="A101" s="28" t="str">
        <x:v>REG-100</x:v>
      </x:c>
      <x:c r="B101" s="28" t="str">
        <x:v>Cycle 2</x:v>
      </x:c>
      <x:c r="C101" s="28" t="str">
        <x:v>Spécialité</x:v>
      </x:c>
      <x:c r="D101" s="28" t="str">
        <x:v>2e année</x:v>
      </x:c>
      <x:c r="E101" s="28" t="str">
        <x:v>Géomatique appliquée à la foresterie</x:v>
      </x:c>
      <x:c r="F101" s="28" t="str">
        <x:v>S4</x:v>
      </x:c>
      <x:c r="G101" s="28" t="str">
        <x:v>UE méthodologique</x:v>
      </x:c>
      <x:c r="H101" s="28" t="str">
        <x:v>UEM 1.1</x:v>
      </x:c>
      <x:c r="I101" s="28" t="str">
        <x:v>Topographie 1</x:v>
      </x:c>
      <x:c r="J101" s="29" t="n">
        <x:v>30</x:v>
      </x:c>
      <x:c r="K101" s="29" t="n">
        <x:v>15</x:v>
      </x:c>
      <x:c r="L101" s="29" t="n">
        <x:v>0</x:v>
      </x:c>
      <x:c r="M101" s="29" t="n">
        <x:v>15</x:v>
      </x:c>
      <x:c r="N101" s="29" t="n">
        <x:v>30</x:v>
      </x:c>
      <x:c r="O101" s="29" t="n">
        <x:v>2</x:v>
      </x:c>
      <x:c r="P101" s="29" t="n">
        <x:v>3</x:v>
      </x:c>
      <x:c r="Q101" s="29" t="str">
        <x:v>Enseignement</x:v>
      </x:c>
      <x:c r="R101" s="29" t="str">
        <x:v>Arrêté n°1458 du 04/12/2024</x:v>
      </x:c>
      <x:c r="S101" s="29" t="str">
        <x:v>04/12/2024</x:v>
      </x:c>
      <x:c r="T101" s="29" t="n">
        <x:v>7</x:v>
      </x:c>
      <x:c r="U101" s="29" t="str">
        <x:v>Vérifié sur arrêté</x:v>
      </x:c>
      <x:c r="V101" s="29" t="n">
        <x:f>IF(COUNTA(K101:M101)=0,"",SUM(K101:M101))</x:f>
        <x:v>30</x:v>
      </x:c>
      <x:c r="W101" s="29" t="n">
        <x:f>IF(V101="","",V101-J101)</x:f>
        <x:v>0</x:v>
      </x:c>
      <x:c r="X101" s="28" t="str"/>
    </x:row>
    <x:row r="102">
      <x:c r="A102" s="28" t="str">
        <x:v>REG-101</x:v>
      </x:c>
      <x:c r="B102" s="28" t="str">
        <x:v>Cycle 2</x:v>
      </x:c>
      <x:c r="C102" s="28" t="str">
        <x:v>Spécialité</x:v>
      </x:c>
      <x:c r="D102" s="28" t="str">
        <x:v>2e année</x:v>
      </x:c>
      <x:c r="E102" s="28" t="str">
        <x:v>Géomatique appliquée à la foresterie</x:v>
      </x:c>
      <x:c r="F102" s="28" t="str">
        <x:v>S4</x:v>
      </x:c>
      <x:c r="G102" s="28" t="str">
        <x:v>UE méthodologique</x:v>
      </x:c>
      <x:c r="H102" s="28" t="str">
        <x:v>UEM 1.1</x:v>
      </x:c>
      <x:c r="I102" s="28" t="str">
        <x:v>Dendrométrie et inventaire forestier</x:v>
      </x:c>
      <x:c r="J102" s="29" t="n">
        <x:v>42</x:v>
      </x:c>
      <x:c r="K102" s="29" t="n">
        <x:v>21</x:v>
      </x:c>
      <x:c r="L102" s="29" t="n">
        <x:v>0</x:v>
      </x:c>
      <x:c r="M102" s="29" t="n">
        <x:v>21</x:v>
      </x:c>
      <x:c r="N102" s="29" t="n">
        <x:v>42</x:v>
      </x:c>
      <x:c r="O102" s="29" t="n">
        <x:v>2</x:v>
      </x:c>
      <x:c r="P102" s="29" t="n">
        <x:v>4</x:v>
      </x:c>
      <x:c r="Q102" s="29" t="str">
        <x:v>Enseignement</x:v>
      </x:c>
      <x:c r="R102" s="29" t="str">
        <x:v>Arrêté n°1458 du 04/12/2024</x:v>
      </x:c>
      <x:c r="S102" s="29" t="str">
        <x:v>04/12/2024</x:v>
      </x:c>
      <x:c r="T102" s="29" t="n">
        <x:v>7</x:v>
      </x:c>
      <x:c r="U102" s="29" t="str">
        <x:v>Vérifié sur arrêté</x:v>
      </x:c>
      <x:c r="V102" s="29" t="n">
        <x:f>IF(COUNTA(K102:M102)=0,"",SUM(K102:M102))</x:f>
        <x:v>42</x:v>
      </x:c>
      <x:c r="W102" s="29" t="n">
        <x:f>IF(V102="","",V102-J102)</x:f>
        <x:v>0</x:v>
      </x:c>
      <x:c r="X102" s="28" t="str"/>
    </x:row>
    <x:row r="103">
      <x:c r="A103" s="28" t="str">
        <x:v>REG-102</x:v>
      </x:c>
      <x:c r="B103" s="28" t="str">
        <x:v>Cycle 2</x:v>
      </x:c>
      <x:c r="C103" s="28" t="str">
        <x:v>Spécialité</x:v>
      </x:c>
      <x:c r="D103" s="28" t="str">
        <x:v>2e année</x:v>
      </x:c>
      <x:c r="E103" s="28" t="str">
        <x:v>Géomatique appliquée à la foresterie</x:v>
      </x:c>
      <x:c r="F103" s="28" t="str">
        <x:v>S4</x:v>
      </x:c>
      <x:c r="G103" s="28" t="str">
        <x:v>UE méthodologique</x:v>
      </x:c>
      <x:c r="H103" s="28" t="str">
        <x:v>UEM 1.1</x:v>
      </x:c>
      <x:c r="I103" s="28" t="str">
        <x:v>Photogrammétrie</x:v>
      </x:c>
      <x:c r="J103" s="29" t="n">
        <x:v>30</x:v>
      </x:c>
      <x:c r="K103" s="29" t="n">
        <x:v>15</x:v>
      </x:c>
      <x:c r="L103" s="29" t="n">
        <x:v>0</x:v>
      </x:c>
      <x:c r="M103" s="29" t="n">
        <x:v>15</x:v>
      </x:c>
      <x:c r="N103" s="29" t="n">
        <x:v>30</x:v>
      </x:c>
      <x:c r="O103" s="29" t="n">
        <x:v>1</x:v>
      </x:c>
      <x:c r="P103" s="29" t="n">
        <x:v>1</x:v>
      </x:c>
      <x:c r="Q103" s="29" t="str">
        <x:v>Enseignement</x:v>
      </x:c>
      <x:c r="R103" s="29" t="str">
        <x:v>Arrêté n°1458 du 04/12/2024</x:v>
      </x:c>
      <x:c r="S103" s="29" t="str">
        <x:v>04/12/2024</x:v>
      </x:c>
      <x:c r="T103" s="29" t="n">
        <x:v>7</x:v>
      </x:c>
      <x:c r="U103" s="29" t="str">
        <x:v>Vérifié sur arrêté</x:v>
      </x:c>
      <x:c r="V103" s="29" t="n">
        <x:f>IF(COUNTA(K103:M103)=0,"",SUM(K103:M103))</x:f>
        <x:v>30</x:v>
      </x:c>
      <x:c r="W103" s="29" t="n">
        <x:f>IF(V103="","",V103-J103)</x:f>
        <x:v>0</x:v>
      </x:c>
      <x:c r="X103" s="28" t="str"/>
    </x:row>
    <x:row r="104">
      <x:c r="A104" s="28" t="str">
        <x:v>REG-103</x:v>
      </x:c>
      <x:c r="B104" s="28" t="str">
        <x:v>Cycle 2</x:v>
      </x:c>
      <x:c r="C104" s="28" t="str">
        <x:v>Spécialité</x:v>
      </x:c>
      <x:c r="D104" s="28" t="str">
        <x:v>2e année</x:v>
      </x:c>
      <x:c r="E104" s="28" t="str">
        <x:v>Géomatique appliquée à la foresterie</x:v>
      </x:c>
      <x:c r="F104" s="28" t="str">
        <x:v>S4</x:v>
      </x:c>
      <x:c r="G104" s="28" t="str">
        <x:v>UE découverte</x:v>
      </x:c>
      <x:c r="H104" s="28" t="str">
        <x:v>UED 1.1</x:v>
      </x:c>
      <x:c r="I104" s="28" t="str">
        <x:v>Entreprenariat</x:v>
      </x:c>
      <x:c r="J104" s="29" t="n">
        <x:v>36</x:v>
      </x:c>
      <x:c r="K104" s="29" t="n">
        <x:v>21</x:v>
      </x:c>
      <x:c r="L104" s="29" t="n">
        <x:v>0</x:v>
      </x:c>
      <x:c r="M104" s="29" t="n">
        <x:v>15</x:v>
      </x:c>
      <x:c r="N104" s="29" t="n">
        <x:v>36</x:v>
      </x:c>
      <x:c r="O104" s="29" t="n">
        <x:v>1</x:v>
      </x:c>
      <x:c r="P104" s="29" t="n">
        <x:v>1</x:v>
      </x:c>
      <x:c r="Q104" s="29" t="str">
        <x:v>Enseignement</x:v>
      </x:c>
      <x:c r="R104" s="29" t="str">
        <x:v>Arrêté n°1458 du 04/12/2024</x:v>
      </x:c>
      <x:c r="S104" s="29" t="str">
        <x:v>04/12/2024</x:v>
      </x:c>
      <x:c r="T104" s="29" t="n">
        <x:v>7</x:v>
      </x:c>
      <x:c r="U104" s="29" t="str">
        <x:v>Vérifié sur arrêté</x:v>
      </x:c>
      <x:c r="V104" s="29" t="n">
        <x:f>IF(COUNTA(K104:M104)=0,"",SUM(K104:M104))</x:f>
        <x:v>36</x:v>
      </x:c>
      <x:c r="W104" s="29" t="n">
        <x:f>IF(V104="","",V104-J104)</x:f>
        <x:v>0</x:v>
      </x:c>
      <x:c r="X104" s="28" t="str"/>
    </x:row>
    <x:row r="105">
      <x:c r="A105" s="28" t="str">
        <x:v>REG-104</x:v>
      </x:c>
      <x:c r="B105" s="28" t="str">
        <x:v>Cycle 2</x:v>
      </x:c>
      <x:c r="C105" s="28" t="str">
        <x:v>Spécialité</x:v>
      </x:c>
      <x:c r="D105" s="28" t="str">
        <x:v>2e année</x:v>
      </x:c>
      <x:c r="E105" s="28" t="str">
        <x:v>Géomatique appliquée à la foresterie</x:v>
      </x:c>
      <x:c r="F105" s="28" t="str">
        <x:v>S4</x:v>
      </x:c>
      <x:c r="G105" s="28" t="str">
        <x:v>UE découverte</x:v>
      </x:c>
      <x:c r="H105" s="28" t="str">
        <x:v>UED 1.1</x:v>
      </x:c>
      <x:c r="I105" s="28" t="str">
        <x:v>Économie forestière</x:v>
      </x:c>
      <x:c r="J105" s="29" t="n">
        <x:v>27</x:v>
      </x:c>
      <x:c r="K105" s="29" t="n">
        <x:v>15</x:v>
      </x:c>
      <x:c r="L105" s="29" t="n">
        <x:v>12</x:v>
      </x:c>
      <x:c r="M105" s="29" t="n">
        <x:v>0</x:v>
      </x:c>
      <x:c r="N105" s="29" t="n">
        <x:v>27</x:v>
      </x:c>
      <x:c r="O105" s="29" t="n">
        <x:v>1</x:v>
      </x:c>
      <x:c r="P105" s="29" t="n">
        <x:v>1</x:v>
      </x:c>
      <x:c r="Q105" s="29" t="str">
        <x:v>Enseignement</x:v>
      </x:c>
      <x:c r="R105" s="29" t="str">
        <x:v>Arrêté n°1458 du 04/12/2024</x:v>
      </x:c>
      <x:c r="S105" s="29" t="str">
        <x:v>04/12/2024</x:v>
      </x:c>
      <x:c r="T105" s="29" t="n">
        <x:v>7</x:v>
      </x:c>
      <x:c r="U105" s="29" t="str">
        <x:v>Vérifié sur arrêté</x:v>
      </x:c>
      <x:c r="V105" s="29" t="n">
        <x:f>IF(COUNTA(K105:M105)=0,"",SUM(K105:M105))</x:f>
        <x:v>27</x:v>
      </x:c>
      <x:c r="W105" s="29" t="n">
        <x:f>IF(V105="","",V105-J105)</x:f>
        <x:v>0</x:v>
      </x:c>
      <x:c r="X105" s="28" t="str"/>
    </x:row>
    <x:row r="106">
      <x:c r="A106" s="28" t="str">
        <x:v>REG-105</x:v>
      </x:c>
      <x:c r="B106" s="28" t="str">
        <x:v>Cycle 2</x:v>
      </x:c>
      <x:c r="C106" s="28" t="str">
        <x:v>Spécialité</x:v>
      </x:c>
      <x:c r="D106" s="28" t="str">
        <x:v>2e année</x:v>
      </x:c>
      <x:c r="E106" s="28" t="str">
        <x:v>Géomatique appliquée à la foresterie</x:v>
      </x:c>
      <x:c r="F106" s="28" t="str">
        <x:v>S4</x:v>
      </x:c>
      <x:c r="G106" s="28" t="str">
        <x:v>UE transversale</x:v>
      </x:c>
      <x:c r="H106" s="28" t="str">
        <x:v>UET 1.1</x:v>
      </x:c>
      <x:c r="I106" s="28" t="str">
        <x:v>Invasion biologique</x:v>
      </x:c>
      <x:c r="J106" s="29" t="n">
        <x:v>15</x:v>
      </x:c>
      <x:c r="K106" s="29" t="n">
        <x:v>15</x:v>
      </x:c>
      <x:c r="L106" s="29" t="n">
        <x:v>0</x:v>
      </x:c>
      <x:c r="M106" s="29" t="n">
        <x:v>0</x:v>
      </x:c>
      <x:c r="N106" s="29" t="n">
        <x:v>15</x:v>
      </x:c>
      <x:c r="O106" s="29" t="n">
        <x:v>1</x:v>
      </x:c>
      <x:c r="P106" s="29" t="n">
        <x:v>1</x:v>
      </x:c>
      <x:c r="Q106" s="29" t="str">
        <x:v>Enseignement</x:v>
      </x:c>
      <x:c r="R106" s="29" t="str">
        <x:v>Arrêté n°1458 du 04/12/2024</x:v>
      </x:c>
      <x:c r="S106" s="29" t="str">
        <x:v>04/12/2024</x:v>
      </x:c>
      <x:c r="T106" s="29" t="n">
        <x:v>7</x:v>
      </x:c>
      <x:c r="U106" s="29" t="str">
        <x:v>Vérifié sur arrêté</x:v>
      </x:c>
      <x:c r="V106" s="29" t="n">
        <x:f>IF(COUNTA(K106:M106)=0,"",SUM(K106:M106))</x:f>
        <x:v>15</x:v>
      </x:c>
      <x:c r="W106" s="29" t="n">
        <x:f>IF(V106="","",V106-J106)</x:f>
        <x:v>0</x:v>
      </x:c>
      <x:c r="X106" s="28" t="str"/>
    </x:row>
    <x:row r="107">
      <x:c r="A107" s="28" t="str">
        <x:v>REG-106</x:v>
      </x:c>
      <x:c r="B107" s="28" t="str">
        <x:v>Cycle 2</x:v>
      </x:c>
      <x:c r="C107" s="28" t="str">
        <x:v>Spécialité</x:v>
      </x:c>
      <x:c r="D107" s="28" t="str">
        <x:v>3e année</x:v>
      </x:c>
      <x:c r="E107" s="28" t="str">
        <x:v>Géomatique appliquée à la foresterie</x:v>
      </x:c>
      <x:c r="F107" s="28" t="str">
        <x:v>S5</x:v>
      </x:c>
      <x:c r="G107" s="28" t="str">
        <x:v>UE fondamentale</x:v>
      </x:c>
      <x:c r="H107" s="28" t="str">
        <x:v>UEF 1.1</x:v>
      </x:c>
      <x:c r="I107" s="28" t="str">
        <x:v>Dendroécologie</x:v>
      </x:c>
      <x:c r="J107" s="29" t="n">
        <x:v>60</x:v>
      </x:c>
      <x:c r="K107" s="29" t="n">
        <x:v>45</x:v>
      </x:c>
      <x:c r="L107" s="29" t="n">
        <x:v>0</x:v>
      </x:c>
      <x:c r="M107" s="29" t="n">
        <x:v>15</x:v>
      </x:c>
      <x:c r="N107" s="29" t="n">
        <x:v>60</x:v>
      </x:c>
      <x:c r="O107" s="29" t="n">
        <x:v>3</x:v>
      </x:c>
      <x:c r="P107" s="29" t="n">
        <x:v>5</x:v>
      </x:c>
      <x:c r="Q107" s="29" t="str">
        <x:v>Enseignement</x:v>
      </x:c>
      <x:c r="R107" s="29" t="str">
        <x:v>Arrêté n°1458 du 04/12/2024</x:v>
      </x:c>
      <x:c r="S107" s="29" t="str">
        <x:v>04/12/2024</x:v>
      </x:c>
      <x:c r="T107" s="29" t="n">
        <x:v>9</x:v>
      </x:c>
      <x:c r="U107" s="29" t="str">
        <x:v>Vérifié sur arrêté</x:v>
      </x:c>
      <x:c r="V107" s="29" t="n">
        <x:f>IF(COUNTA(K107:M107)=0,"",SUM(K107:M107))</x:f>
        <x:v>60</x:v>
      </x:c>
      <x:c r="W107" s="29" t="n">
        <x:f>IF(V107="","",V107-J107)</x:f>
        <x:v>0</x:v>
      </x:c>
      <x:c r="X107" s="28" t="str"/>
    </x:row>
    <x:row r="108">
      <x:c r="A108" s="28" t="str">
        <x:v>REG-107</x:v>
      </x:c>
      <x:c r="B108" s="28" t="str">
        <x:v>Cycle 2</x:v>
      </x:c>
      <x:c r="C108" s="28" t="str">
        <x:v>Spécialité</x:v>
      </x:c>
      <x:c r="D108" s="28" t="str">
        <x:v>3e année</x:v>
      </x:c>
      <x:c r="E108" s="28" t="str">
        <x:v>Géomatique appliquée à la foresterie</x:v>
      </x:c>
      <x:c r="F108" s="28" t="str">
        <x:v>S5</x:v>
      </x:c>
      <x:c r="G108" s="28" t="str">
        <x:v>UE fondamentale</x:v>
      </x:c>
      <x:c r="H108" s="28" t="str">
        <x:v>UEF 1.1</x:v>
      </x:c>
      <x:c r="I108" s="28" t="str">
        <x:v>Défense des forêts contre les incendies (DFCI)</x:v>
      </x:c>
      <x:c r="J108" s="29" t="n">
        <x:v>48</x:v>
      </x:c>
      <x:c r="K108" s="29" t="n">
        <x:v>33</x:v>
      </x:c>
      <x:c r="L108" s="29" t="n">
        <x:v>0</x:v>
      </x:c>
      <x:c r="M108" s="29" t="n">
        <x:v>15</x:v>
      </x:c>
      <x:c r="N108" s="29" t="n">
        <x:v>48</x:v>
      </x:c>
      <x:c r="O108" s="29" t="n">
        <x:v>2</x:v>
      </x:c>
      <x:c r="P108" s="29" t="n">
        <x:v>5</x:v>
      </x:c>
      <x:c r="Q108" s="29" t="str">
        <x:v>Enseignement</x:v>
      </x:c>
      <x:c r="R108" s="29" t="str">
        <x:v>Arrêté n°1458 du 04/12/2024</x:v>
      </x:c>
      <x:c r="S108" s="29" t="str">
        <x:v>04/12/2024</x:v>
      </x:c>
      <x:c r="T108" s="29" t="n">
        <x:v>9</x:v>
      </x:c>
      <x:c r="U108" s="29" t="str">
        <x:v>Vérifié sur arrêté</x:v>
      </x:c>
      <x:c r="V108" s="29" t="n">
        <x:f>IF(COUNTA(K108:M108)=0,"",SUM(K108:M108))</x:f>
        <x:v>48</x:v>
      </x:c>
      <x:c r="W108" s="29" t="n">
        <x:f>IF(V108="","",V108-J108)</x:f>
        <x:v>0</x:v>
      </x:c>
      <x:c r="X108" s="28" t="str"/>
    </x:row>
    <x:row r="109">
      <x:c r="A109" s="28" t="str">
        <x:v>REG-108</x:v>
      </x:c>
      <x:c r="B109" s="28" t="str">
        <x:v>Cycle 2</x:v>
      </x:c>
      <x:c r="C109" s="28" t="str">
        <x:v>Spécialité</x:v>
      </x:c>
      <x:c r="D109" s="28" t="str">
        <x:v>3e année</x:v>
      </x:c>
      <x:c r="E109" s="28" t="str">
        <x:v>Géomatique appliquée à la foresterie</x:v>
      </x:c>
      <x:c r="F109" s="28" t="str">
        <x:v>S5</x:v>
      </x:c>
      <x:c r="G109" s="28" t="str">
        <x:v>UE fondamentale</x:v>
      </x:c>
      <x:c r="H109" s="28" t="str">
        <x:v>UEF 1.2</x:v>
      </x:c>
      <x:c r="I109" s="28" t="str">
        <x:v>Désertification et barrage vert</x:v>
      </x:c>
      <x:c r="J109" s="29" t="n">
        <x:v>60</x:v>
      </x:c>
      <x:c r="K109" s="29" t="n">
        <x:v>45</x:v>
      </x:c>
      <x:c r="L109" s="29" t="n">
        <x:v>15</x:v>
      </x:c>
      <x:c r="M109" s="29" t="n">
        <x:v>0</x:v>
      </x:c>
      <x:c r="N109" s="29" t="n">
        <x:v>60</x:v>
      </x:c>
      <x:c r="O109" s="29" t="n">
        <x:v>2</x:v>
      </x:c>
      <x:c r="P109" s="29" t="n">
        <x:v>5</x:v>
      </x:c>
      <x:c r="Q109" s="29" t="str">
        <x:v>Enseignement</x:v>
      </x:c>
      <x:c r="R109" s="29" t="str">
        <x:v>Arrêté n°1458 du 04/12/2024</x:v>
      </x:c>
      <x:c r="S109" s="29" t="str">
        <x:v>04/12/2024</x:v>
      </x:c>
      <x:c r="T109" s="29" t="n">
        <x:v>9</x:v>
      </x:c>
      <x:c r="U109" s="29" t="str">
        <x:v>Vérifié sur arrêté</x:v>
      </x:c>
      <x:c r="V109" s="29" t="n">
        <x:f>IF(COUNTA(K109:M109)=0,"",SUM(K109:M109))</x:f>
        <x:v>60</x:v>
      </x:c>
      <x:c r="W109" s="29" t="n">
        <x:f>IF(V109="","",V109-J109)</x:f>
        <x:v>0</x:v>
      </x:c>
      <x:c r="X109" s="28" t="str"/>
    </x:row>
    <x:row r="110">
      <x:c r="A110" s="28" t="str">
        <x:v>REG-109</x:v>
      </x:c>
      <x:c r="B110" s="28" t="str">
        <x:v>Cycle 2</x:v>
      </x:c>
      <x:c r="C110" s="28" t="str">
        <x:v>Spécialité</x:v>
      </x:c>
      <x:c r="D110" s="28" t="str">
        <x:v>3e année</x:v>
      </x:c>
      <x:c r="E110" s="28" t="str">
        <x:v>Géomatique appliquée à la foresterie</x:v>
      </x:c>
      <x:c r="F110" s="28" t="str">
        <x:v>S5</x:v>
      </x:c>
      <x:c r="G110" s="28" t="str">
        <x:v>UE fondamentale</x:v>
      </x:c>
      <x:c r="H110" s="28" t="str">
        <x:v>UEF 1.2</x:v>
      </x:c>
      <x:c r="I110" s="28" t="str">
        <x:v>Pastoralisme et gestion des parcours steppiques</x:v>
      </x:c>
      <x:c r="J110" s="29" t="n">
        <x:v>60</x:v>
      </x:c>
      <x:c r="K110" s="29" t="n">
        <x:v>45</x:v>
      </x:c>
      <x:c r="L110" s="29" t="n">
        <x:v>15</x:v>
      </x:c>
      <x:c r="M110" s="29" t="n">
        <x:v>0</x:v>
      </x:c>
      <x:c r="N110" s="29" t="n">
        <x:v>60</x:v>
      </x:c>
      <x:c r="O110" s="29" t="n">
        <x:v>3</x:v>
      </x:c>
      <x:c r="P110" s="29" t="n">
        <x:v>5</x:v>
      </x:c>
      <x:c r="Q110" s="29" t="str">
        <x:v>Enseignement</x:v>
      </x:c>
      <x:c r="R110" s="29" t="str">
        <x:v>Arrêté n°1458 du 04/12/2024</x:v>
      </x:c>
      <x:c r="S110" s="29" t="str">
        <x:v>04/12/2024</x:v>
      </x:c>
      <x:c r="T110" s="29" t="n">
        <x:v>9</x:v>
      </x:c>
      <x:c r="U110" s="29" t="str">
        <x:v>Vérifié sur arrêté</x:v>
      </x:c>
      <x:c r="V110" s="29" t="n">
        <x:f>IF(COUNTA(K110:M110)=0,"",SUM(K110:M110))</x:f>
        <x:v>60</x:v>
      </x:c>
      <x:c r="W110" s="29" t="n">
        <x:f>IF(V110="","",V110-J110)</x:f>
        <x:v>0</x:v>
      </x:c>
      <x:c r="X110" s="28" t="str"/>
    </x:row>
    <x:row r="111">
      <x:c r="A111" s="28" t="str">
        <x:v>REG-110</x:v>
      </x:c>
      <x:c r="B111" s="28" t="str">
        <x:v>Cycle 2</x:v>
      </x:c>
      <x:c r="C111" s="28" t="str">
        <x:v>Spécialité</x:v>
      </x:c>
      <x:c r="D111" s="28" t="str">
        <x:v>3e année</x:v>
      </x:c>
      <x:c r="E111" s="28" t="str">
        <x:v>Géomatique appliquée à la foresterie</x:v>
      </x:c>
      <x:c r="F111" s="28" t="str">
        <x:v>S5</x:v>
      </x:c>
      <x:c r="G111" s="28" t="str">
        <x:v>UE méthodologique</x:v>
      </x:c>
      <x:c r="H111" s="28" t="str">
        <x:v>UEM 1.1</x:v>
      </x:c>
      <x:c r="I111" s="28" t="str">
        <x:v>Topographie 2</x:v>
      </x:c>
      <x:c r="J111" s="29" t="n">
        <x:v>36</x:v>
      </x:c>
      <x:c r="K111" s="29" t="n">
        <x:v>15</x:v>
      </x:c>
      <x:c r="L111" s="29" t="n">
        <x:v>0</x:v>
      </x:c>
      <x:c r="M111" s="29" t="n">
        <x:v>21</x:v>
      </x:c>
      <x:c r="N111" s="29" t="n">
        <x:v>36</x:v>
      </x:c>
      <x:c r="O111" s="29" t="n">
        <x:v>2</x:v>
      </x:c>
      <x:c r="P111" s="29" t="n">
        <x:v>5</x:v>
      </x:c>
      <x:c r="Q111" s="29" t="str">
        <x:v>Enseignement</x:v>
      </x:c>
      <x:c r="R111" s="29" t="str">
        <x:v>Arrêté n°1458 du 04/12/2024</x:v>
      </x:c>
      <x:c r="S111" s="29" t="str">
        <x:v>04/12/2024</x:v>
      </x:c>
      <x:c r="T111" s="29" t="n">
        <x:v>9</x:v>
      </x:c>
      <x:c r="U111" s="29" t="str">
        <x:v>Vérifié sur arrêté</x:v>
      </x:c>
      <x:c r="V111" s="29" t="n">
        <x:f>IF(COUNTA(K111:M111)=0,"",SUM(K111:M111))</x:f>
        <x:v>36</x:v>
      </x:c>
      <x:c r="W111" s="29" t="n">
        <x:f>IF(V111="","",V111-J111)</x:f>
        <x:v>0</x:v>
      </x:c>
      <x:c r="X111" s="28" t="str"/>
    </x:row>
    <x:row r="112">
      <x:c r="A112" s="28" t="str">
        <x:v>REG-111</x:v>
      </x:c>
      <x:c r="B112" s="28" t="str">
        <x:v>Cycle 2</x:v>
      </x:c>
      <x:c r="C112" s="28" t="str">
        <x:v>Spécialité</x:v>
      </x:c>
      <x:c r="D112" s="28" t="str">
        <x:v>3e année</x:v>
      </x:c>
      <x:c r="E112" s="28" t="str">
        <x:v>Géomatique appliquée à la foresterie</x:v>
      </x:c>
      <x:c r="F112" s="28" t="str">
        <x:v>S5</x:v>
      </x:c>
      <x:c r="G112" s="28" t="str">
        <x:v>UE méthodologique</x:v>
      </x:c>
      <x:c r="H112" s="28" t="str">
        <x:v>UEM 1.1</x:v>
      </x:c>
      <x:c r="I112" s="28" t="str">
        <x:v>Géostatistique</x:v>
      </x:c>
      <x:c r="J112" s="29" t="n">
        <x:v>30</x:v>
      </x:c>
      <x:c r="K112" s="29" t="n">
        <x:v>15</x:v>
      </x:c>
      <x:c r="L112" s="29" t="n">
        <x:v>0</x:v>
      </x:c>
      <x:c r="M112" s="29" t="n">
        <x:v>15</x:v>
      </x:c>
      <x:c r="N112" s="29" t="n">
        <x:v>30</x:v>
      </x:c>
      <x:c r="O112" s="29" t="n">
        <x:v>1</x:v>
      </x:c>
      <x:c r="P112" s="29" t="n">
        <x:v>1</x:v>
      </x:c>
      <x:c r="Q112" s="29" t="str">
        <x:v>Enseignement</x:v>
      </x:c>
      <x:c r="R112" s="29" t="str">
        <x:v>Arrêté n°1458 du 04/12/2024</x:v>
      </x:c>
      <x:c r="S112" s="29" t="str">
        <x:v>04/12/2024</x:v>
      </x:c>
      <x:c r="T112" s="29" t="n">
        <x:v>9</x:v>
      </x:c>
      <x:c r="U112" s="29" t="str">
        <x:v>Vérifié sur arrêté</x:v>
      </x:c>
      <x:c r="V112" s="29" t="n">
        <x:f>IF(COUNTA(K112:M112)=0,"",SUM(K112:M112))</x:f>
        <x:v>30</x:v>
      </x:c>
      <x:c r="W112" s="29" t="n">
        <x:f>IF(V112="","",V112-J112)</x:f>
        <x:v>0</x:v>
      </x:c>
      <x:c r="X112" s="28" t="str"/>
    </x:row>
    <x:row r="113">
      <x:c r="A113" s="28" t="str">
        <x:v>REG-112</x:v>
      </x:c>
      <x:c r="B113" s="28" t="str">
        <x:v>Cycle 2</x:v>
      </x:c>
      <x:c r="C113" s="28" t="str">
        <x:v>Spécialité</x:v>
      </x:c>
      <x:c r="D113" s="28" t="str">
        <x:v>3e année</x:v>
      </x:c>
      <x:c r="E113" s="28" t="str">
        <x:v>Géomatique appliquée à la foresterie</x:v>
      </x:c>
      <x:c r="F113" s="28" t="str">
        <x:v>S5</x:v>
      </x:c>
      <x:c r="G113" s="28" t="str">
        <x:v>UE méthodologique</x:v>
      </x:c>
      <x:c r="H113" s="28" t="str">
        <x:v>UEM 1.1</x:v>
      </x:c>
      <x:c r="I113" s="28" t="str">
        <x:v>Web Mapping et services WEB géo-spatiaux</x:v>
      </x:c>
      <x:c r="J113" s="29" t="n">
        <x:v>30</x:v>
      </x:c>
      <x:c r="K113" s="29" t="n">
        <x:v>0</x:v>
      </x:c>
      <x:c r="L113" s="29" t="n">
        <x:v>0</x:v>
      </x:c>
      <x:c r="M113" s="29" t="n">
        <x:v>30</x:v>
      </x:c>
      <x:c r="N113" s="29" t="n">
        <x:v>30</x:v>
      </x:c>
      <x:c r="O113" s="29" t="n">
        <x:v>1</x:v>
      </x:c>
      <x:c r="P113" s="29" t="n">
        <x:v>1</x:v>
      </x:c>
      <x:c r="Q113" s="29" t="str">
        <x:v>Enseignement</x:v>
      </x:c>
      <x:c r="R113" s="29" t="str">
        <x:v>Arrêté n°1458 du 04/12/2024</x:v>
      </x:c>
      <x:c r="S113" s="29" t="str">
        <x:v>04/12/2024</x:v>
      </x:c>
      <x:c r="T113" s="29" t="n">
        <x:v>9</x:v>
      </x:c>
      <x:c r="U113" s="29" t="str">
        <x:v>Vérifié sur arrêté</x:v>
      </x:c>
      <x:c r="V113" s="29" t="n">
        <x:f>IF(COUNTA(K113:M113)=0,"",SUM(K113:M113))</x:f>
        <x:v>30</x:v>
      </x:c>
      <x:c r="W113" s="29" t="n">
        <x:f>IF(V113="","",V113-J113)</x:f>
        <x:v>0</x:v>
      </x:c>
      <x:c r="X113" s="28" t="str"/>
    </x:row>
    <x:row r="114">
      <x:c r="A114" s="28" t="str">
        <x:v>REG-113</x:v>
      </x:c>
      <x:c r="B114" s="28" t="str">
        <x:v>Cycle 2</x:v>
      </x:c>
      <x:c r="C114" s="28" t="str">
        <x:v>Spécialité</x:v>
      </x:c>
      <x:c r="D114" s="28" t="str">
        <x:v>3e année</x:v>
      </x:c>
      <x:c r="E114" s="28" t="str">
        <x:v>Géomatique appliquée à la foresterie</x:v>
      </x:c>
      <x:c r="F114" s="28" t="str">
        <x:v>S5</x:v>
      </x:c>
      <x:c r="G114" s="28" t="str">
        <x:v>UE découverte</x:v>
      </x:c>
      <x:c r="H114" s="28" t="str">
        <x:v>UED 1.1</x:v>
      </x:c>
      <x:c r="I114" s="28" t="str">
        <x:v>Foresterie urbaine</x:v>
      </x:c>
      <x:c r="J114" s="29" t="n">
        <x:v>21</x:v>
      </x:c>
      <x:c r="K114" s="29" t="n">
        <x:v>21</x:v>
      </x:c>
      <x:c r="L114" s="29" t="n">
        <x:v>0</x:v>
      </x:c>
      <x:c r="M114" s="29" t="n">
        <x:v>0</x:v>
      </x:c>
      <x:c r="N114" s="29" t="n">
        <x:v>21</x:v>
      </x:c>
      <x:c r="O114" s="29" t="n">
        <x:v>1</x:v>
      </x:c>
      <x:c r="P114" s="29" t="n">
        <x:v>1</x:v>
      </x:c>
      <x:c r="Q114" s="29" t="str">
        <x:v>Enseignement</x:v>
      </x:c>
      <x:c r="R114" s="29" t="str">
        <x:v>Arrêté n°1458 du 04/12/2024</x:v>
      </x:c>
      <x:c r="S114" s="29" t="str">
        <x:v>04/12/2024</x:v>
      </x:c>
      <x:c r="T114" s="29" t="n">
        <x:v>9</x:v>
      </x:c>
      <x:c r="U114" s="29" t="str">
        <x:v>Vérifié sur arrêté</x:v>
      </x:c>
      <x:c r="V114" s="29" t="n">
        <x:f>IF(COUNTA(K114:M114)=0,"",SUM(K114:M114))</x:f>
        <x:v>21</x:v>
      </x:c>
      <x:c r="W114" s="29" t="n">
        <x:f>IF(V114="","",V114-J114)</x:f>
        <x:v>0</x:v>
      </x:c>
      <x:c r="X114" s="28" t="str"/>
    </x:row>
    <x:row r="115">
      <x:c r="A115" s="28" t="str">
        <x:v>REG-114</x:v>
      </x:c>
      <x:c r="B115" s="28" t="str">
        <x:v>Cycle 2</x:v>
      </x:c>
      <x:c r="C115" s="28" t="str">
        <x:v>Spécialité</x:v>
      </x:c>
      <x:c r="D115" s="28" t="str">
        <x:v>3e année</x:v>
      </x:c>
      <x:c r="E115" s="28" t="str">
        <x:v>Géomatique appliquée à la foresterie</x:v>
      </x:c>
      <x:c r="F115" s="28" t="str">
        <x:v>S5</x:v>
      </x:c>
      <x:c r="G115" s="28" t="str">
        <x:v>UE découverte</x:v>
      </x:c>
      <x:c r="H115" s="28" t="str">
        <x:v>UED 1.1</x:v>
      </x:c>
      <x:c r="I115" s="28" t="str">
        <x:v>Aires protégées</x:v>
      </x:c>
      <x:c r="J115" s="29" t="n">
        <x:v>15</x:v>
      </x:c>
      <x:c r="K115" s="29" t="n">
        <x:v>15</x:v>
      </x:c>
      <x:c r="L115" s="29" t="n">
        <x:v>0</x:v>
      </x:c>
      <x:c r="M115" s="29" t="n">
        <x:v>0</x:v>
      </x:c>
      <x:c r="N115" s="29" t="n">
        <x:v>15</x:v>
      </x:c>
      <x:c r="O115" s="29" t="n">
        <x:v>1</x:v>
      </x:c>
      <x:c r="P115" s="29" t="n">
        <x:v>1</x:v>
      </x:c>
      <x:c r="Q115" s="29" t="str">
        <x:v>Enseignement</x:v>
      </x:c>
      <x:c r="R115" s="29" t="str">
        <x:v>Arrêté n°1458 du 04/12/2024</x:v>
      </x:c>
      <x:c r="S115" s="29" t="str">
        <x:v>04/12/2024</x:v>
      </x:c>
      <x:c r="T115" s="29" t="n">
        <x:v>9</x:v>
      </x:c>
      <x:c r="U115" s="29" t="str">
        <x:v>Vérifié sur arrêté</x:v>
      </x:c>
      <x:c r="V115" s="29" t="n">
        <x:f>IF(COUNTA(K115:M115)=0,"",SUM(K115:M115))</x:f>
        <x:v>15</x:v>
      </x:c>
      <x:c r="W115" s="29" t="n">
        <x:f>IF(V115="","",V115-J115)</x:f>
        <x:v>0</x:v>
      </x:c>
      <x:c r="X115" s="28" t="str"/>
    </x:row>
    <x:row r="116">
      <x:c r="A116" s="28" t="str">
        <x:v>REG-115</x:v>
      </x:c>
      <x:c r="B116" s="28" t="str">
        <x:v>Cycle 2</x:v>
      </x:c>
      <x:c r="C116" s="28" t="str">
        <x:v>Spécialité</x:v>
      </x:c>
      <x:c r="D116" s="28" t="str">
        <x:v>3e année</x:v>
      </x:c>
      <x:c r="E116" s="28" t="str">
        <x:v>Géomatique appliquée à la foresterie</x:v>
      </x:c>
      <x:c r="F116" s="28" t="str">
        <x:v>S5</x:v>
      </x:c>
      <x:c r="G116" s="28" t="str">
        <x:v>UE transversale</x:v>
      </x:c>
      <x:c r="H116" s="28" t="str">
        <x:v>UET 1.1</x:v>
      </x:c>
      <x:c r="I116" s="28" t="str">
        <x:v>Écotourisme</x:v>
      </x:c>
      <x:c r="J116" s="29" t="n">
        <x:v>15</x:v>
      </x:c>
      <x:c r="K116" s="29" t="n">
        <x:v>15</x:v>
      </x:c>
      <x:c r="L116" s="29" t="n">
        <x:v>0</x:v>
      </x:c>
      <x:c r="M116" s="29" t="n">
        <x:v>0</x:v>
      </x:c>
      <x:c r="N116" s="29" t="n">
        <x:v>15</x:v>
      </x:c>
      <x:c r="O116" s="29" t="n">
        <x:v>1</x:v>
      </x:c>
      <x:c r="P116" s="29" t="n">
        <x:v>1</x:v>
      </x:c>
      <x:c r="Q116" s="29" t="str">
        <x:v>Enseignement</x:v>
      </x:c>
      <x:c r="R116" s="29" t="str">
        <x:v>Arrêté n°1458 du 04/12/2024</x:v>
      </x:c>
      <x:c r="S116" s="29" t="str">
        <x:v>04/12/2024</x:v>
      </x:c>
      <x:c r="T116" s="29" t="n">
        <x:v>9</x:v>
      </x:c>
      <x:c r="U116" s="29" t="str">
        <x:v>Vérifié sur arrêté</x:v>
      </x:c>
      <x:c r="V116" s="29" t="n">
        <x:f>IF(COUNTA(K116:M116)=0,"",SUM(K116:M116))</x:f>
        <x:v>15</x:v>
      </x:c>
      <x:c r="W116" s="29" t="n">
        <x:f>IF(V116="","",V116-J116)</x:f>
        <x:v>0</x:v>
      </x:c>
      <x:c r="X116" s="28" t="str"/>
    </x:row>
    <x:row r="117">
      <x:c r="A117" s="28" t="str">
        <x:v>REG-116</x:v>
      </x:c>
      <x:c r="B117" s="28" t="str">
        <x:v>Cycle 2</x:v>
      </x:c>
      <x:c r="C117" s="28" t="str">
        <x:v>Spécialité</x:v>
      </x:c>
      <x:c r="D117" s="28" t="str">
        <x:v>3e année</x:v>
      </x:c>
      <x:c r="E117" s="28" t="str">
        <x:v>Géomatique appliquée à la foresterie</x:v>
      </x:c>
      <x:c r="F117" s="28" t="str">
        <x:v>S6</x:v>
      </x:c>
      <x:c r="G117" s="28" t="str">
        <x:v>Projet de fin d’études</x:v>
      </x:c>
      <x:c r="H117" s="28" t="str"/>
      <x:c r="I117" s="28" t="str">
        <x:v>Recherche bibliographique</x:v>
      </x:c>
      <x:c r="J117" s="29" t="n">
        <x:v>100</x:v>
      </x:c>
      <x:c r="K117" s="29"/>
      <x:c r="L117" s="29"/>
      <x:c r="M117" s="29"/>
      <x:c r="N117" s="29"/>
      <x:c r="O117" s="29"/>
      <x:c r="P117" s="29"/>
      <x:c r="Q117" s="29" t="str">
        <x:v>Activité PFE</x:v>
      </x:c>
      <x:c r="R117" s="29" t="str">
        <x:v>Arrêté n°1458 du 04/12/2024</x:v>
      </x:c>
      <x:c r="S117" s="29" t="str">
        <x:v>04/12/2024</x:v>
      </x:c>
      <x:c r="T117" s="29" t="n">
        <x:v>10</x:v>
      </x:c>
      <x:c r="U117" s="29" t="str">
        <x:v>Vérifié sur arrêté</x:v>
      </x:c>
      <x:c r="V117" s="29" t="str">
        <x:f>IF(COUNTA(K117:M117)=0,"",SUM(K117:M117))</x:f>
      </x:c>
      <x:c r="W117" s="29" t="str">
        <x:f>IF(V117="","",V117-J117)</x:f>
      </x:c>
      <x:c r="X117" s="28" t="str">
        <x:v>Travail personnel global du S6 = 375 h ; total annoncé = 750 h.</x:v>
      </x:c>
    </x:row>
    <x:row r="118">
      <x:c r="A118" s="28" t="str">
        <x:v>REG-117</x:v>
      </x:c>
      <x:c r="B118" s="28" t="str">
        <x:v>Cycle 2</x:v>
      </x:c>
      <x:c r="C118" s="28" t="str">
        <x:v>Spécialité</x:v>
      </x:c>
      <x:c r="D118" s="28" t="str">
        <x:v>3e année</x:v>
      </x:c>
      <x:c r="E118" s="28" t="str">
        <x:v>Géomatique appliquée à la foresterie</x:v>
      </x:c>
      <x:c r="F118" s="28" t="str">
        <x:v>S6</x:v>
      </x:c>
      <x:c r="G118" s="28" t="str">
        <x:v>Projet de fin d’études</x:v>
      </x:c>
      <x:c r="H118" s="28" t="str"/>
      <x:c r="I118" s="28" t="str">
        <x:v>Expérimentation (laboratoire et/ou terrain)</x:v>
      </x:c>
      <x:c r="J118" s="29" t="n">
        <x:v>125</x:v>
      </x:c>
      <x:c r="K118" s="29"/>
      <x:c r="L118" s="29"/>
      <x:c r="M118" s="29"/>
      <x:c r="N118" s="29"/>
      <x:c r="O118" s="29"/>
      <x:c r="P118" s="29"/>
      <x:c r="Q118" s="29" t="str">
        <x:v>Activité PFE</x:v>
      </x:c>
      <x:c r="R118" s="29" t="str">
        <x:v>Arrêté n°1458 du 04/12/2024</x:v>
      </x:c>
      <x:c r="S118" s="29" t="str">
        <x:v>04/12/2024</x:v>
      </x:c>
      <x:c r="T118" s="29" t="n">
        <x:v>10</x:v>
      </x:c>
      <x:c r="U118" s="29" t="str">
        <x:v>Vérifié sur arrêté</x:v>
      </x:c>
      <x:c r="V118" s="29" t="str">
        <x:f>IF(COUNTA(K118:M118)=0,"",SUM(K118:M118))</x:f>
      </x:c>
      <x:c r="W118" s="29" t="str">
        <x:f>IF(V118="","",V118-J118)</x:f>
      </x:c>
      <x:c r="X118" s="28" t="str">
        <x:v>Travail personnel global du S6 = 375 h ; total annoncé = 750 h.</x:v>
      </x:c>
    </x:row>
    <x:row r="119">
      <x:c r="A119" s="28" t="str">
        <x:v>REG-118</x:v>
      </x:c>
      <x:c r="B119" s="28" t="str">
        <x:v>Cycle 2</x:v>
      </x:c>
      <x:c r="C119" s="28" t="str">
        <x:v>Spécialité</x:v>
      </x:c>
      <x:c r="D119" s="28" t="str">
        <x:v>3e année</x:v>
      </x:c>
      <x:c r="E119" s="28" t="str">
        <x:v>Géomatique appliquée à la foresterie</x:v>
      </x:c>
      <x:c r="F119" s="28" t="str">
        <x:v>S6</x:v>
      </x:c>
      <x:c r="G119" s="28" t="str">
        <x:v>Projet de fin d’études</x:v>
      </x:c>
      <x:c r="H119" s="28" t="str"/>
      <x:c r="I119" s="28" t="str">
        <x:v>Rédaction</x:v>
      </x:c>
      <x:c r="J119" s="29" t="n">
        <x:v>100</x:v>
      </x:c>
      <x:c r="K119" s="29"/>
      <x:c r="L119" s="29"/>
      <x:c r="M119" s="29"/>
      <x:c r="N119" s="29"/>
      <x:c r="O119" s="29"/>
      <x:c r="P119" s="29"/>
      <x:c r="Q119" s="29" t="str">
        <x:v>Activité PFE</x:v>
      </x:c>
      <x:c r="R119" s="29" t="str">
        <x:v>Arrêté n°1458 du 04/12/2024</x:v>
      </x:c>
      <x:c r="S119" s="29" t="str">
        <x:v>04/12/2024</x:v>
      </x:c>
      <x:c r="T119" s="29" t="n">
        <x:v>10</x:v>
      </x:c>
      <x:c r="U119" s="29" t="str">
        <x:v>Vérifié sur arrêté</x:v>
      </x:c>
      <x:c r="V119" s="29" t="str">
        <x:f>IF(COUNTA(K119:M119)=0,"",SUM(K119:M119))</x:f>
      </x:c>
      <x:c r="W119" s="29" t="str">
        <x:f>IF(V119="","",V119-J119)</x:f>
      </x:c>
      <x:c r="X119" s="28" t="str">
        <x:v>Travail personnel global du S6 = 375 h ; total annoncé = 750 h.</x:v>
      </x:c>
    </x:row>
    <x:row r="120">
      <x:c r="A120" s="28" t="str">
        <x:v>REG-119</x:v>
      </x:c>
      <x:c r="B120" s="28" t="str">
        <x:v>Cycle 2</x:v>
      </x:c>
      <x:c r="C120" s="28" t="str">
        <x:v>Spécialité</x:v>
      </x:c>
      <x:c r="D120" s="28" t="str">
        <x:v>3e année</x:v>
      </x:c>
      <x:c r="E120" s="28" t="str">
        <x:v>Géomatique appliquée à la foresterie</x:v>
      </x:c>
      <x:c r="F120" s="28" t="str">
        <x:v>S6</x:v>
      </x:c>
      <x:c r="G120" s="28" t="str">
        <x:v>Projet de fin d’études</x:v>
      </x:c>
      <x:c r="H120" s="28" t="str"/>
      <x:c r="I120" s="28" t="str">
        <x:v>Encadrement</x:v>
      </x:c>
      <x:c r="J120" s="29" t="n">
        <x:v>50</x:v>
      </x:c>
      <x:c r="K120" s="29"/>
      <x:c r="L120" s="29"/>
      <x:c r="M120" s="29"/>
      <x:c r="N120" s="29"/>
      <x:c r="O120" s="29"/>
      <x:c r="P120" s="29"/>
      <x:c r="Q120" s="29" t="str">
        <x:v>Activité PFE</x:v>
      </x:c>
      <x:c r="R120" s="29" t="str">
        <x:v>Arrêté n°1458 du 04/12/2024</x:v>
      </x:c>
      <x:c r="S120" s="29" t="str">
        <x:v>04/12/2024</x:v>
      </x:c>
      <x:c r="T120" s="29" t="n">
        <x:v>10</x:v>
      </x:c>
      <x:c r="U120" s="29" t="str">
        <x:v>Vérifié sur arrêté</x:v>
      </x:c>
      <x:c r="V120" s="29" t="str">
        <x:f>IF(COUNTA(K120:M120)=0,"",SUM(K120:M120))</x:f>
      </x:c>
      <x:c r="W120" s="29" t="str">
        <x:f>IF(V120="","",V120-J120)</x:f>
      </x:c>
      <x:c r="X120" s="28" t="str">
        <x:v>Travail personnel global du S6 = 375 h ; total annoncé = 750 h.</x:v>
      </x:c>
    </x:row>
    <x:row r="121">
      <x:c r="A121" s="28" t="str">
        <x:v>REG-120</x:v>
      </x:c>
      <x:c r="B121" s="28" t="str">
        <x:v>Cycle 2</x:v>
      </x:c>
      <x:c r="C121" s="28" t="str">
        <x:v>Spécialité</x:v>
      </x:c>
      <x:c r="D121" s="28" t="str">
        <x:v>2e année</x:v>
      </x:c>
      <x:c r="E121" s="28" t="str">
        <x:v>Santé des forêts</x:v>
      </x:c>
      <x:c r="F121" s="28" t="str">
        <x:v>S3</x:v>
      </x:c>
      <x:c r="G121" s="28" t="str">
        <x:v>UE fondamentale</x:v>
      </x:c>
      <x:c r="H121" s="28" t="str">
        <x:v>UEF 1.1</x:v>
      </x:c>
      <x:c r="I121" s="28" t="str">
        <x:v>Sylviculture générale et appliquée</x:v>
      </x:c>
      <x:c r="J121" s="29" t="n">
        <x:v>50</x:v>
      </x:c>
      <x:c r="K121" s="29" t="n">
        <x:v>30</x:v>
      </x:c>
      <x:c r="L121" s="29" t="n">
        <x:v>0</x:v>
      </x:c>
      <x:c r="M121" s="29" t="n">
        <x:v>20</x:v>
      </x:c>
      <x:c r="N121" s="29" t="n">
        <x:v>50</x:v>
      </x:c>
      <x:c r="O121" s="29" t="n">
        <x:v>3</x:v>
      </x:c>
      <x:c r="P121" s="29" t="n">
        <x:v>5</x:v>
      </x:c>
      <x:c r="Q121" s="29" t="str">
        <x:v>Enseignement</x:v>
      </x:c>
      <x:c r="R121" s="29" t="str">
        <x:v>Arrêté n°1460 du 04/12/2024</x:v>
      </x:c>
      <x:c r="S121" s="29" t="str">
        <x:v>04/12/2024</x:v>
      </x:c>
      <x:c r="T121" s="29" t="n">
        <x:v>7</x:v>
      </x:c>
      <x:c r="U121" s="29" t="str">
        <x:v>Vérifié sur arrêté</x:v>
      </x:c>
      <x:c r="V121" s="29" t="n">
        <x:f>IF(COUNTA(K121:M121)=0,"",SUM(K121:M121))</x:f>
        <x:v>50</x:v>
      </x:c>
      <x:c r="W121" s="29" t="n">
        <x:f>IF(V121="","",V121-J121)</x:f>
        <x:v>0</x:v>
      </x:c>
      <x:c r="X121" s="28" t="str"/>
    </x:row>
    <x:row r="122">
      <x:c r="A122" s="28" t="str">
        <x:v>REG-121</x:v>
      </x:c>
      <x:c r="B122" s="28" t="str">
        <x:v>Cycle 2</x:v>
      </x:c>
      <x:c r="C122" s="28" t="str">
        <x:v>Spécialité</x:v>
      </x:c>
      <x:c r="D122" s="28" t="str">
        <x:v>2e année</x:v>
      </x:c>
      <x:c r="E122" s="28" t="str">
        <x:v>Santé des forêts</x:v>
      </x:c>
      <x:c r="F122" s="28" t="str">
        <x:v>S3</x:v>
      </x:c>
      <x:c r="G122" s="28" t="str">
        <x:v>UE fondamentale</x:v>
      </x:c>
      <x:c r="H122" s="28" t="str">
        <x:v>UEF 1.1</x:v>
      </x:c>
      <x:c r="I122" s="28" t="str">
        <x:v>Dendroécologie</x:v>
      </x:c>
      <x:c r="J122" s="29" t="n">
        <x:v>50</x:v>
      </x:c>
      <x:c r="K122" s="29" t="n">
        <x:v>30</x:v>
      </x:c>
      <x:c r="L122" s="29" t="n">
        <x:v>0</x:v>
      </x:c>
      <x:c r="M122" s="29" t="n">
        <x:v>20</x:v>
      </x:c>
      <x:c r="N122" s="29" t="n">
        <x:v>50</x:v>
      </x:c>
      <x:c r="O122" s="29" t="n">
        <x:v>2</x:v>
      </x:c>
      <x:c r="P122" s="29" t="n">
        <x:v>4</x:v>
      </x:c>
      <x:c r="Q122" s="29" t="str">
        <x:v>Enseignement</x:v>
      </x:c>
      <x:c r="R122" s="29" t="str">
        <x:v>Arrêté n°1460 du 04/12/2024</x:v>
      </x:c>
      <x:c r="S122" s="29" t="str">
        <x:v>04/12/2024</x:v>
      </x:c>
      <x:c r="T122" s="29" t="n">
        <x:v>7</x:v>
      </x:c>
      <x:c r="U122" s="29" t="str">
        <x:v>Vérifié sur arrêté</x:v>
      </x:c>
      <x:c r="V122" s="29" t="n">
        <x:f>IF(COUNTA(K122:M122)=0,"",SUM(K122:M122))</x:f>
        <x:v>50</x:v>
      </x:c>
      <x:c r="W122" s="29" t="n">
        <x:f>IF(V122="","",V122-J122)</x:f>
        <x:v>0</x:v>
      </x:c>
      <x:c r="X122" s="28" t="str"/>
    </x:row>
    <x:row r="123">
      <x:c r="A123" s="28" t="str">
        <x:v>REG-122</x:v>
      </x:c>
      <x:c r="B123" s="28" t="str">
        <x:v>Cycle 2</x:v>
      </x:c>
      <x:c r="C123" s="28" t="str">
        <x:v>Spécialité</x:v>
      </x:c>
      <x:c r="D123" s="28" t="str">
        <x:v>2e année</x:v>
      </x:c>
      <x:c r="E123" s="28" t="str">
        <x:v>Santé des forêts</x:v>
      </x:c>
      <x:c r="F123" s="28" t="str">
        <x:v>S3</x:v>
      </x:c>
      <x:c r="G123" s="28" t="str">
        <x:v>UE fondamentale</x:v>
      </x:c>
      <x:c r="H123" s="28" t="str">
        <x:v>UEF 1.2</x:v>
      </x:c>
      <x:c r="I123" s="28" t="str">
        <x:v>Microbiologie forestière</x:v>
      </x:c>
      <x:c r="J123" s="29" t="n">
        <x:v>45</x:v>
      </x:c>
      <x:c r="K123" s="29" t="n">
        <x:v>30</x:v>
      </x:c>
      <x:c r="L123" s="29" t="n">
        <x:v>0</x:v>
      </x:c>
      <x:c r="M123" s="29" t="n">
        <x:v>15</x:v>
      </x:c>
      <x:c r="N123" s="29" t="n">
        <x:v>45</x:v>
      </x:c>
      <x:c r="O123" s="29" t="n">
        <x:v>2</x:v>
      </x:c>
      <x:c r="P123" s="29" t="n">
        <x:v>4</x:v>
      </x:c>
      <x:c r="Q123" s="29" t="str">
        <x:v>Enseignement</x:v>
      </x:c>
      <x:c r="R123" s="29" t="str">
        <x:v>Arrêté n°1460 du 04/12/2024</x:v>
      </x:c>
      <x:c r="S123" s="29" t="str">
        <x:v>04/12/2024</x:v>
      </x:c>
      <x:c r="T123" s="29" t="n">
        <x:v>7</x:v>
      </x:c>
      <x:c r="U123" s="29" t="str">
        <x:v>Vérifié sur arrêté</x:v>
      </x:c>
      <x:c r="V123" s="29" t="n">
        <x:f>IF(COUNTA(K123:M123)=0,"",SUM(K123:M123))</x:f>
        <x:v>45</x:v>
      </x:c>
      <x:c r="W123" s="29" t="n">
        <x:f>IF(V123="","",V123-J123)</x:f>
        <x:v>0</x:v>
      </x:c>
      <x:c r="X123" s="28" t="str"/>
    </x:row>
    <x:row r="124">
      <x:c r="A124" s="28" t="str">
        <x:v>REG-123</x:v>
      </x:c>
      <x:c r="B124" s="28" t="str">
        <x:v>Cycle 2</x:v>
      </x:c>
      <x:c r="C124" s="28" t="str">
        <x:v>Spécialité</x:v>
      </x:c>
      <x:c r="D124" s="28" t="str">
        <x:v>2e année</x:v>
      </x:c>
      <x:c r="E124" s="28" t="str">
        <x:v>Santé des forêts</x:v>
      </x:c>
      <x:c r="F124" s="28" t="str">
        <x:v>S3</x:v>
      </x:c>
      <x:c r="G124" s="28" t="str">
        <x:v>UE fondamentale</x:v>
      </x:c>
      <x:c r="H124" s="28" t="str">
        <x:v>UEF 1.2</x:v>
      </x:c>
      <x:c r="I124" s="28" t="str">
        <x:v>Aménagement forestier</x:v>
      </x:c>
      <x:c r="J124" s="29" t="n">
        <x:v>60</x:v>
      </x:c>
      <x:c r="K124" s="29" t="n">
        <x:v>30</x:v>
      </x:c>
      <x:c r="L124" s="29" t="n">
        <x:v>0</x:v>
      </x:c>
      <x:c r="M124" s="29" t="n">
        <x:v>30</x:v>
      </x:c>
      <x:c r="N124" s="29" t="n">
        <x:v>60</x:v>
      </x:c>
      <x:c r="O124" s="29" t="n">
        <x:v>3</x:v>
      </x:c>
      <x:c r="P124" s="29" t="n">
        <x:v>5</x:v>
      </x:c>
      <x:c r="Q124" s="29" t="str">
        <x:v>Enseignement</x:v>
      </x:c>
      <x:c r="R124" s="29" t="str">
        <x:v>Arrêté n°1460 du 04/12/2024</x:v>
      </x:c>
      <x:c r="S124" s="29" t="str">
        <x:v>04/12/2024</x:v>
      </x:c>
      <x:c r="T124" s="29" t="n">
        <x:v>7</x:v>
      </x:c>
      <x:c r="U124" s="29" t="str">
        <x:v>Vérifié sur arrêté</x:v>
      </x:c>
      <x:c r="V124" s="29" t="n">
        <x:f>IF(COUNTA(K124:M124)=0,"",SUM(K124:M124))</x:f>
        <x:v>60</x:v>
      </x:c>
      <x:c r="W124" s="29" t="n">
        <x:f>IF(V124="","",V124-J124)</x:f>
        <x:v>0</x:v>
      </x:c>
      <x:c r="X124" s="28" t="str"/>
    </x:row>
    <x:row r="125">
      <x:c r="A125" s="28" t="str">
        <x:v>REG-124</x:v>
      </x:c>
      <x:c r="B125" s="28" t="str">
        <x:v>Cycle 2</x:v>
      </x:c>
      <x:c r="C125" s="28" t="str">
        <x:v>Spécialité</x:v>
      </x:c>
      <x:c r="D125" s="28" t="str">
        <x:v>2e année</x:v>
      </x:c>
      <x:c r="E125" s="28" t="str">
        <x:v>Santé des forêts</x:v>
      </x:c>
      <x:c r="F125" s="28" t="str">
        <x:v>S3</x:v>
      </x:c>
      <x:c r="G125" s="28" t="str">
        <x:v>UE méthodologique</x:v>
      </x:c>
      <x:c r="H125" s="28" t="str">
        <x:v>UEM 1.1</x:v>
      </x:c>
      <x:c r="I125" s="28" t="str">
        <x:v>Dendrométrie et inventaire forestier</x:v>
      </x:c>
      <x:c r="J125" s="29" t="n">
        <x:v>52</x:v>
      </x:c>
      <x:c r="K125" s="29" t="n">
        <x:v>22</x:v>
      </x:c>
      <x:c r="L125" s="29" t="n">
        <x:v>0</x:v>
      </x:c>
      <x:c r="M125" s="29" t="n">
        <x:v>30</x:v>
      </x:c>
      <x:c r="N125" s="29" t="n">
        <x:v>52</x:v>
      </x:c>
      <x:c r="O125" s="29" t="n">
        <x:v>2</x:v>
      </x:c>
      <x:c r="P125" s="29" t="n">
        <x:v>5</x:v>
      </x:c>
      <x:c r="Q125" s="29" t="str">
        <x:v>Enseignement</x:v>
      </x:c>
      <x:c r="R125" s="29" t="str">
        <x:v>Arrêté n°1460 du 04/12/2024</x:v>
      </x:c>
      <x:c r="S125" s="29" t="str">
        <x:v>04/12/2024</x:v>
      </x:c>
      <x:c r="T125" s="29" t="n">
        <x:v>7</x:v>
      </x:c>
      <x:c r="U125" s="29" t="str">
        <x:v>Vérifié sur arrêté</x:v>
      </x:c>
      <x:c r="V125" s="29" t="n">
        <x:f>IF(COUNTA(K125:M125)=0,"",SUM(K125:M125))</x:f>
        <x:v>52</x:v>
      </x:c>
      <x:c r="W125" s="29" t="n">
        <x:f>IF(V125="","",V125-J125)</x:f>
        <x:v>0</x:v>
      </x:c>
      <x:c r="X125" s="28" t="str"/>
    </x:row>
    <x:row r="126">
      <x:c r="A126" s="28" t="str">
        <x:v>REG-125</x:v>
      </x:c>
      <x:c r="B126" s="28" t="str">
        <x:v>Cycle 2</x:v>
      </x:c>
      <x:c r="C126" s="28" t="str">
        <x:v>Spécialité</x:v>
      </x:c>
      <x:c r="D126" s="28" t="str">
        <x:v>2e année</x:v>
      </x:c>
      <x:c r="E126" s="28" t="str">
        <x:v>Santé des forêts</x:v>
      </x:c>
      <x:c r="F126" s="28" t="str">
        <x:v>S3</x:v>
      </x:c>
      <x:c r="G126" s="28" t="str">
        <x:v>UE méthodologique</x:v>
      </x:c>
      <x:c r="H126" s="28" t="str">
        <x:v>UEM 1.1</x:v>
      </x:c>
      <x:c r="I126" s="28" t="str">
        <x:v>Méthodes d’inventaire de la faune</x:v>
      </x:c>
      <x:c r="J126" s="29" t="n">
        <x:v>46</x:v>
      </x:c>
      <x:c r="K126" s="29" t="n">
        <x:v>22</x:v>
      </x:c>
      <x:c r="L126" s="29" t="n">
        <x:v>15</x:v>
      </x:c>
      <x:c r="M126" s="29" t="n">
        <x:v>9</x:v>
      </x:c>
      <x:c r="N126" s="29" t="n">
        <x:v>46</x:v>
      </x:c>
      <x:c r="O126" s="29" t="n">
        <x:v>2</x:v>
      </x:c>
      <x:c r="P126" s="29" t="n">
        <x:v>4</x:v>
      </x:c>
      <x:c r="Q126" s="29" t="str">
        <x:v>Enseignement</x:v>
      </x:c>
      <x:c r="R126" s="29" t="str">
        <x:v>Arrêté n°1460 du 04/12/2024</x:v>
      </x:c>
      <x:c r="S126" s="29" t="str">
        <x:v>04/12/2024</x:v>
      </x:c>
      <x:c r="T126" s="29" t="n">
        <x:v>7</x:v>
      </x:c>
      <x:c r="U126" s="29" t="str">
        <x:v>Vérifié sur arrêté</x:v>
      </x:c>
      <x:c r="V126" s="29" t="n">
        <x:f>IF(COUNTA(K126:M126)=0,"",SUM(K126:M126))</x:f>
        <x:v>46</x:v>
      </x:c>
      <x:c r="W126" s="29" t="n">
        <x:f>IF(V126="","",V126-J126)</x:f>
        <x:v>0</x:v>
      </x:c>
      <x:c r="X126" s="28" t="str"/>
    </x:row>
    <x:row r="127">
      <x:c r="A127" s="28" t="str">
        <x:v>REG-126</x:v>
      </x:c>
      <x:c r="B127" s="28" t="str">
        <x:v>Cycle 2</x:v>
      </x:c>
      <x:c r="C127" s="28" t="str">
        <x:v>Spécialité</x:v>
      </x:c>
      <x:c r="D127" s="28" t="str">
        <x:v>2e année</x:v>
      </x:c>
      <x:c r="E127" s="28" t="str">
        <x:v>Santé des forêts</x:v>
      </x:c>
      <x:c r="F127" s="28" t="str">
        <x:v>S3</x:v>
      </x:c>
      <x:c r="G127" s="28" t="str">
        <x:v>UE découverte</x:v>
      </x:c>
      <x:c r="H127" s="28" t="str">
        <x:v>UED 1.1</x:v>
      </x:c>
      <x:c r="I127" s="28" t="str">
        <x:v>Production de plants forestiers</x:v>
      </x:c>
      <x:c r="J127" s="29" t="n">
        <x:v>27</x:v>
      </x:c>
      <x:c r="K127" s="29" t="n">
        <x:v>15</x:v>
      </x:c>
      <x:c r="L127" s="29" t="n">
        <x:v>0</x:v>
      </x:c>
      <x:c r="M127" s="29" t="n">
        <x:v>12</x:v>
      </x:c>
      <x:c r="N127" s="29" t="n">
        <x:v>27</x:v>
      </x:c>
      <x:c r="O127" s="29" t="n">
        <x:v>1</x:v>
      </x:c>
      <x:c r="P127" s="29" t="n">
        <x:v>1</x:v>
      </x:c>
      <x:c r="Q127" s="29" t="str">
        <x:v>Enseignement</x:v>
      </x:c>
      <x:c r="R127" s="29" t="str">
        <x:v>Arrêté n°1460 du 04/12/2024</x:v>
      </x:c>
      <x:c r="S127" s="29" t="str">
        <x:v>04/12/2024</x:v>
      </x:c>
      <x:c r="T127" s="29" t="n">
        <x:v>7</x:v>
      </x:c>
      <x:c r="U127" s="29" t="str">
        <x:v>Vérifié sur arrêté</x:v>
      </x:c>
      <x:c r="V127" s="29" t="n">
        <x:f>IF(COUNTA(K127:M127)=0,"",SUM(K127:M127))</x:f>
        <x:v>27</x:v>
      </x:c>
      <x:c r="W127" s="29" t="n">
        <x:f>IF(V127="","",V127-J127)</x:f>
        <x:v>0</x:v>
      </x:c>
      <x:c r="X127" s="28" t="str"/>
    </x:row>
    <x:row r="128">
      <x:c r="A128" s="28" t="str">
        <x:v>REG-127</x:v>
      </x:c>
      <x:c r="B128" s="28" t="str">
        <x:v>Cycle 2</x:v>
      </x:c>
      <x:c r="C128" s="28" t="str">
        <x:v>Spécialité</x:v>
      </x:c>
      <x:c r="D128" s="28" t="str">
        <x:v>2e année</x:v>
      </x:c>
      <x:c r="E128" s="28" t="str">
        <x:v>Santé des forêts</x:v>
      </x:c>
      <x:c r="F128" s="28" t="str">
        <x:v>S3</x:v>
      </x:c>
      <x:c r="G128" s="28" t="str">
        <x:v>UE découverte</x:v>
      </x:c>
      <x:c r="H128" s="28" t="str">
        <x:v>UED 1.1</x:v>
      </x:c>
      <x:c r="I128" s="28" t="str">
        <x:v>Écotoxicologie</x:v>
      </x:c>
      <x:c r="J128" s="29" t="n">
        <x:v>15</x:v>
      </x:c>
      <x:c r="K128" s="29" t="n">
        <x:v>15</x:v>
      </x:c>
      <x:c r="L128" s="29" t="n">
        <x:v>0</x:v>
      </x:c>
      <x:c r="M128" s="29" t="n">
        <x:v>0</x:v>
      </x:c>
      <x:c r="N128" s="29" t="n">
        <x:v>15</x:v>
      </x:c>
      <x:c r="O128" s="29" t="n">
        <x:v>1</x:v>
      </x:c>
      <x:c r="P128" s="29" t="n">
        <x:v>1</x:v>
      </x:c>
      <x:c r="Q128" s="29" t="str">
        <x:v>Enseignement</x:v>
      </x:c>
      <x:c r="R128" s="29" t="str">
        <x:v>Arrêté n°1460 du 04/12/2024</x:v>
      </x:c>
      <x:c r="S128" s="29" t="str">
        <x:v>04/12/2024</x:v>
      </x:c>
      <x:c r="T128" s="29" t="n">
        <x:v>7</x:v>
      </x:c>
      <x:c r="U128" s="29" t="str">
        <x:v>Vérifié sur arrêté</x:v>
      </x:c>
      <x:c r="V128" s="29" t="n">
        <x:f>IF(COUNTA(K128:M128)=0,"",SUM(K128:M128))</x:f>
        <x:v>15</x:v>
      </x:c>
      <x:c r="W128" s="29" t="n">
        <x:f>IF(V128="","",V128-J128)</x:f>
        <x:v>0</x:v>
      </x:c>
      <x:c r="X128" s="28" t="str"/>
    </x:row>
    <x:row r="129">
      <x:c r="A129" s="28" t="str">
        <x:v>REG-128</x:v>
      </x:c>
      <x:c r="B129" s="28" t="str">
        <x:v>Cycle 2</x:v>
      </x:c>
      <x:c r="C129" s="28" t="str">
        <x:v>Spécialité</x:v>
      </x:c>
      <x:c r="D129" s="28" t="str">
        <x:v>2e année</x:v>
      </x:c>
      <x:c r="E129" s="28" t="str">
        <x:v>Santé des forêts</x:v>
      </x:c>
      <x:c r="F129" s="28" t="str">
        <x:v>S3</x:v>
      </x:c>
      <x:c r="G129" s="28" t="str">
        <x:v>UE transversale</x:v>
      </x:c>
      <x:c r="H129" s="28" t="str">
        <x:v>UET 1.1</x:v>
      </x:c>
      <x:c r="I129" s="28" t="str">
        <x:v>Communications scientifiques</x:v>
      </x:c>
      <x:c r="J129" s="29" t="n">
        <x:v>30</x:v>
      </x:c>
      <x:c r="K129" s="29" t="n">
        <x:v>15</x:v>
      </x:c>
      <x:c r="L129" s="29" t="n">
        <x:v>0</x:v>
      </x:c>
      <x:c r="M129" s="29" t="n">
        <x:v>15</x:v>
      </x:c>
      <x:c r="N129" s="29" t="n">
        <x:v>30</x:v>
      </x:c>
      <x:c r="O129" s="29" t="n">
        <x:v>1</x:v>
      </x:c>
      <x:c r="P129" s="29" t="n">
        <x:v>1</x:v>
      </x:c>
      <x:c r="Q129" s="29" t="str">
        <x:v>Enseignement</x:v>
      </x:c>
      <x:c r="R129" s="29" t="str">
        <x:v>Arrêté n°1460 du 04/12/2024</x:v>
      </x:c>
      <x:c r="S129" s="29" t="str">
        <x:v>04/12/2024</x:v>
      </x:c>
      <x:c r="T129" s="29" t="n">
        <x:v>7</x:v>
      </x:c>
      <x:c r="U129" s="29" t="str">
        <x:v>Vérifié sur arrêté</x:v>
      </x:c>
      <x:c r="V129" s="29" t="n">
        <x:f>IF(COUNTA(K129:M129)=0,"",SUM(K129:M129))</x:f>
        <x:v>30</x:v>
      </x:c>
      <x:c r="W129" s="29" t="n">
        <x:f>IF(V129="","",V129-J129)</x:f>
        <x:v>0</x:v>
      </x:c>
      <x:c r="X129" s="28" t="str"/>
    </x:row>
    <x:row r="130">
      <x:c r="A130" s="28" t="str">
        <x:v>REG-129</x:v>
      </x:c>
      <x:c r="B130" s="28" t="str">
        <x:v>Cycle 2</x:v>
      </x:c>
      <x:c r="C130" s="28" t="str">
        <x:v>Spécialité</x:v>
      </x:c>
      <x:c r="D130" s="28" t="str">
        <x:v>2e année</x:v>
      </x:c>
      <x:c r="E130" s="28" t="str">
        <x:v>Santé des forêts</x:v>
      </x:c>
      <x:c r="F130" s="28" t="str">
        <x:v>S4</x:v>
      </x:c>
      <x:c r="G130" s="28" t="str">
        <x:v>UE fondamentale</x:v>
      </x:c>
      <x:c r="H130" s="28" t="str">
        <x:v>UEF 1.1</x:v>
      </x:c>
      <x:c r="I130" s="28" t="str">
        <x:v>Diagnostic des peuplements forestiers</x:v>
      </x:c>
      <x:c r="J130" s="29" t="n">
        <x:v>45</x:v>
      </x:c>
      <x:c r="K130" s="29" t="n">
        <x:v>30</x:v>
      </x:c>
      <x:c r="L130" s="29" t="n">
        <x:v>0</x:v>
      </x:c>
      <x:c r="M130" s="29" t="n">
        <x:v>15</x:v>
      </x:c>
      <x:c r="N130" s="29" t="n">
        <x:v>45</x:v>
      </x:c>
      <x:c r="O130" s="29" t="n">
        <x:v>2</x:v>
      </x:c>
      <x:c r="P130" s="29" t="n">
        <x:v>4</x:v>
      </x:c>
      <x:c r="Q130" s="29" t="str">
        <x:v>Enseignement</x:v>
      </x:c>
      <x:c r="R130" s="29" t="str">
        <x:v>Arrêté n°1460 du 04/12/2024</x:v>
      </x:c>
      <x:c r="S130" s="29" t="str">
        <x:v>04/12/2024</x:v>
      </x:c>
      <x:c r="T130" s="29" t="n">
        <x:v>8</x:v>
      </x:c>
      <x:c r="U130" s="29" t="str">
        <x:v>Vérifié sur arrêté</x:v>
      </x:c>
      <x:c r="V130" s="29" t="n">
        <x:f>IF(COUNTA(K130:M130)=0,"",SUM(K130:M130))</x:f>
        <x:v>45</x:v>
      </x:c>
      <x:c r="W130" s="29" t="n">
        <x:f>IF(V130="","",V130-J130)</x:f>
        <x:v>0</x:v>
      </x:c>
      <x:c r="X130" s="28" t="str"/>
    </x:row>
    <x:row r="131">
      <x:c r="A131" s="28" t="str">
        <x:v>REG-130</x:v>
      </x:c>
      <x:c r="B131" s="28" t="str">
        <x:v>Cycle 2</x:v>
      </x:c>
      <x:c r="C131" s="28" t="str">
        <x:v>Spécialité</x:v>
      </x:c>
      <x:c r="D131" s="28" t="str">
        <x:v>2e année</x:v>
      </x:c>
      <x:c r="E131" s="28" t="str">
        <x:v>Santé des forêts</x:v>
      </x:c>
      <x:c r="F131" s="28" t="str">
        <x:v>S4</x:v>
      </x:c>
      <x:c r="G131" s="28" t="str">
        <x:v>UE fondamentale</x:v>
      </x:c>
      <x:c r="H131" s="28" t="str">
        <x:v>UEF 1.1</x:v>
      </x:c>
      <x:c r="I131" s="28" t="str">
        <x:v>Désertification</x:v>
      </x:c>
      <x:c r="J131" s="29" t="n">
        <x:v>45</x:v>
      </x:c>
      <x:c r="K131" s="29" t="n">
        <x:v>30</x:v>
      </x:c>
      <x:c r="L131" s="29" t="n">
        <x:v>0</x:v>
      </x:c>
      <x:c r="M131" s="29" t="n">
        <x:v>15</x:v>
      </x:c>
      <x:c r="N131" s="29" t="n">
        <x:v>45</x:v>
      </x:c>
      <x:c r="O131" s="29" t="n">
        <x:v>2</x:v>
      </x:c>
      <x:c r="P131" s="29" t="n">
        <x:v>4</x:v>
      </x:c>
      <x:c r="Q131" s="29" t="str">
        <x:v>Enseignement</x:v>
      </x:c>
      <x:c r="R131" s="29" t="str">
        <x:v>Arrêté n°1460 du 04/12/2024</x:v>
      </x:c>
      <x:c r="S131" s="29" t="str">
        <x:v>04/12/2024</x:v>
      </x:c>
      <x:c r="T131" s="29" t="n">
        <x:v>8</x:v>
      </x:c>
      <x:c r="U131" s="29" t="str">
        <x:v>Vérifié sur arrêté</x:v>
      </x:c>
      <x:c r="V131" s="29" t="n">
        <x:f>IF(COUNTA(K131:M131)=0,"",SUM(K131:M131))</x:f>
        <x:v>45</x:v>
      </x:c>
      <x:c r="W131" s="29" t="n">
        <x:f>IF(V131="","",V131-J131)</x:f>
        <x:v>0</x:v>
      </x:c>
      <x:c r="X131" s="28" t="str"/>
    </x:row>
    <x:row r="132">
      <x:c r="A132" s="28" t="str">
        <x:v>REG-131</x:v>
      </x:c>
      <x:c r="B132" s="28" t="str">
        <x:v>Cycle 2</x:v>
      </x:c>
      <x:c r="C132" s="28" t="str">
        <x:v>Spécialité</x:v>
      </x:c>
      <x:c r="D132" s="28" t="str">
        <x:v>2e année</x:v>
      </x:c>
      <x:c r="E132" s="28" t="str">
        <x:v>Santé des forêts</x:v>
      </x:c>
      <x:c r="F132" s="28" t="str">
        <x:v>S4</x:v>
      </x:c>
      <x:c r="G132" s="28" t="str">
        <x:v>UE fondamentale</x:v>
      </x:c>
      <x:c r="H132" s="28" t="str">
        <x:v>UEF 1.2</x:v>
      </x:c>
      <x:c r="I132" s="28" t="str">
        <x:v>Pathologie forestière</x:v>
      </x:c>
      <x:c r="J132" s="29" t="n">
        <x:v>60</x:v>
      </x:c>
      <x:c r="K132" s="29" t="n">
        <x:v>30</x:v>
      </x:c>
      <x:c r="L132" s="29" t="n">
        <x:v>15</x:v>
      </x:c>
      <x:c r="M132" s="29" t="n">
        <x:v>15</x:v>
      </x:c>
      <x:c r="N132" s="29" t="n">
        <x:v>60</x:v>
      </x:c>
      <x:c r="O132" s="29" t="n">
        <x:v>3</x:v>
      </x:c>
      <x:c r="P132" s="29" t="n">
        <x:v>5</x:v>
      </x:c>
      <x:c r="Q132" s="29" t="str">
        <x:v>Enseignement</x:v>
      </x:c>
      <x:c r="R132" s="29" t="str">
        <x:v>Arrêté n°1460 du 04/12/2024</x:v>
      </x:c>
      <x:c r="S132" s="29" t="str">
        <x:v>04/12/2024</x:v>
      </x:c>
      <x:c r="T132" s="29" t="n">
        <x:v>8</x:v>
      </x:c>
      <x:c r="U132" s="29" t="str">
        <x:v>Vérifié sur arrêté</x:v>
      </x:c>
      <x:c r="V132" s="29" t="n">
        <x:f>IF(COUNTA(K132:M132)=0,"",SUM(K132:M132))</x:f>
        <x:v>60</x:v>
      </x:c>
      <x:c r="W132" s="29" t="n">
        <x:f>IF(V132="","",V132-J132)</x:f>
        <x:v>0</x:v>
      </x:c>
      <x:c r="X132" s="28" t="str"/>
    </x:row>
    <x:row r="133">
      <x:c r="A133" s="28" t="str">
        <x:v>REG-132</x:v>
      </x:c>
      <x:c r="B133" s="28" t="str">
        <x:v>Cycle 2</x:v>
      </x:c>
      <x:c r="C133" s="28" t="str">
        <x:v>Spécialité</x:v>
      </x:c>
      <x:c r="D133" s="28" t="str">
        <x:v>2e année</x:v>
      </x:c>
      <x:c r="E133" s="28" t="str">
        <x:v>Santé des forêts</x:v>
      </x:c>
      <x:c r="F133" s="28" t="str">
        <x:v>S4</x:v>
      </x:c>
      <x:c r="G133" s="28" t="str">
        <x:v>UE fondamentale</x:v>
      </x:c>
      <x:c r="H133" s="28" t="str">
        <x:v>UEF 1.2</x:v>
      </x:c>
      <x:c r="I133" s="28" t="str">
        <x:v>Entomologie forestière</x:v>
      </x:c>
      <x:c r="J133" s="29" t="n">
        <x:v>60</x:v>
      </x:c>
      <x:c r="K133" s="29" t="n">
        <x:v>30</x:v>
      </x:c>
      <x:c r="L133" s="29" t="n">
        <x:v>15</x:v>
      </x:c>
      <x:c r="M133" s="29" t="n">
        <x:v>15</x:v>
      </x:c>
      <x:c r="N133" s="29" t="n">
        <x:v>60</x:v>
      </x:c>
      <x:c r="O133" s="29" t="n">
        <x:v>3</x:v>
      </x:c>
      <x:c r="P133" s="29" t="n">
        <x:v>5</x:v>
      </x:c>
      <x:c r="Q133" s="29" t="str">
        <x:v>Enseignement</x:v>
      </x:c>
      <x:c r="R133" s="29" t="str">
        <x:v>Arrêté n°1460 du 04/12/2024</x:v>
      </x:c>
      <x:c r="S133" s="29" t="str">
        <x:v>04/12/2024</x:v>
      </x:c>
      <x:c r="T133" s="29" t="n">
        <x:v>8</x:v>
      </x:c>
      <x:c r="U133" s="29" t="str">
        <x:v>Vérifié sur arrêté</x:v>
      </x:c>
      <x:c r="V133" s="29" t="n">
        <x:f>IF(COUNTA(K133:M133)=0,"",SUM(K133:M133))</x:f>
        <x:v>60</x:v>
      </x:c>
      <x:c r="W133" s="29" t="n">
        <x:f>IF(V133="","",V133-J133)</x:f>
        <x:v>0</x:v>
      </x:c>
      <x:c r="X133" s="28" t="str"/>
    </x:row>
    <x:row r="134">
      <x:c r="A134" s="28" t="str">
        <x:v>REG-133</x:v>
      </x:c>
      <x:c r="B134" s="28" t="str">
        <x:v>Cycle 2</x:v>
      </x:c>
      <x:c r="C134" s="28" t="str">
        <x:v>Spécialité</x:v>
      </x:c>
      <x:c r="D134" s="28" t="str">
        <x:v>2e année</x:v>
      </x:c>
      <x:c r="E134" s="28" t="str">
        <x:v>Santé des forêts</x:v>
      </x:c>
      <x:c r="F134" s="28" t="str">
        <x:v>S4</x:v>
      </x:c>
      <x:c r="G134" s="28" t="str">
        <x:v>UE méthodologique</x:v>
      </x:c>
      <x:c r="H134" s="28" t="str">
        <x:v>UEM 1.1</x:v>
      </x:c>
      <x:c r="I134" s="28" t="str">
        <x:v>Expérimentation forestière</x:v>
      </x:c>
      <x:c r="J134" s="29" t="n">
        <x:v>55</x:v>
      </x:c>
      <x:c r="K134" s="29" t="n">
        <x:v>15</x:v>
      </x:c>
      <x:c r="L134" s="29" t="n">
        <x:v>20</x:v>
      </x:c>
      <x:c r="M134" s="29" t="n">
        <x:v>20</x:v>
      </x:c>
      <x:c r="N134" s="29" t="n">
        <x:v>55</x:v>
      </x:c>
      <x:c r="O134" s="29" t="n">
        <x:v>2</x:v>
      </x:c>
      <x:c r="P134" s="29" t="n">
        <x:v>5</x:v>
      </x:c>
      <x:c r="Q134" s="29" t="str">
        <x:v>Enseignement</x:v>
      </x:c>
      <x:c r="R134" s="29" t="str">
        <x:v>Arrêté n°1460 du 04/12/2024</x:v>
      </x:c>
      <x:c r="S134" s="29" t="str">
        <x:v>04/12/2024</x:v>
      </x:c>
      <x:c r="T134" s="29" t="n">
        <x:v>8</x:v>
      </x:c>
      <x:c r="U134" s="29" t="str">
        <x:v>Vérifié sur arrêté</x:v>
      </x:c>
      <x:c r="V134" s="29" t="n">
        <x:f>IF(COUNTA(K134:M134)=0,"",SUM(K134:M134))</x:f>
        <x:v>55</x:v>
      </x:c>
      <x:c r="W134" s="29" t="n">
        <x:f>IF(V134="","",V134-J134)</x:f>
        <x:v>0</x:v>
      </x:c>
      <x:c r="X134" s="28" t="str"/>
    </x:row>
    <x:row r="135">
      <x:c r="A135" s="28" t="str">
        <x:v>REG-134</x:v>
      </x:c>
      <x:c r="B135" s="28" t="str">
        <x:v>Cycle 2</x:v>
      </x:c>
      <x:c r="C135" s="28" t="str">
        <x:v>Spécialité</x:v>
      </x:c>
      <x:c r="D135" s="28" t="str">
        <x:v>2e année</x:v>
      </x:c>
      <x:c r="E135" s="28" t="str">
        <x:v>Santé des forêts</x:v>
      </x:c>
      <x:c r="F135" s="28" t="str">
        <x:v>S4</x:v>
      </x:c>
      <x:c r="G135" s="28" t="str">
        <x:v>UE méthodologique</x:v>
      </x:c>
      <x:c r="H135" s="28" t="str">
        <x:v>UEM 1.1</x:v>
      </x:c>
      <x:c r="I135" s="28" t="str">
        <x:v>Technique numérique du monitoring forestier</x:v>
      </x:c>
      <x:c r="J135" s="29" t="n">
        <x:v>35</x:v>
      </x:c>
      <x:c r="K135" s="29" t="n">
        <x:v>20</x:v>
      </x:c>
      <x:c r="L135" s="29" t="n">
        <x:v>0</x:v>
      </x:c>
      <x:c r="M135" s="29" t="n">
        <x:v>15</x:v>
      </x:c>
      <x:c r="N135" s="29" t="n">
        <x:v>35</x:v>
      </x:c>
      <x:c r="O135" s="29" t="n">
        <x:v>2</x:v>
      </x:c>
      <x:c r="P135" s="29" t="n">
        <x:v>4</x:v>
      </x:c>
      <x:c r="Q135" s="29" t="str">
        <x:v>Enseignement</x:v>
      </x:c>
      <x:c r="R135" s="29" t="str">
        <x:v>Arrêté n°1460 du 04/12/2024</x:v>
      </x:c>
      <x:c r="S135" s="29" t="str">
        <x:v>04/12/2024</x:v>
      </x:c>
      <x:c r="T135" s="29" t="n">
        <x:v>8</x:v>
      </x:c>
      <x:c r="U135" s="29" t="str">
        <x:v>Vérifié sur arrêté</x:v>
      </x:c>
      <x:c r="V135" s="29" t="n">
        <x:f>IF(COUNTA(K135:M135)=0,"",SUM(K135:M135))</x:f>
        <x:v>35</x:v>
      </x:c>
      <x:c r="W135" s="29" t="n">
        <x:f>IF(V135="","",V135-J135)</x:f>
        <x:v>0</x:v>
      </x:c>
      <x:c r="X135" s="28" t="str"/>
    </x:row>
    <x:row r="136">
      <x:c r="A136" s="28" t="str">
        <x:v>REG-135</x:v>
      </x:c>
      <x:c r="B136" s="28" t="str">
        <x:v>Cycle 2</x:v>
      </x:c>
      <x:c r="C136" s="28" t="str">
        <x:v>Spécialité</x:v>
      </x:c>
      <x:c r="D136" s="28" t="str">
        <x:v>2e année</x:v>
      </x:c>
      <x:c r="E136" s="28" t="str">
        <x:v>Santé des forêts</x:v>
      </x:c>
      <x:c r="F136" s="28" t="str">
        <x:v>S4</x:v>
      </x:c>
      <x:c r="G136" s="28" t="str">
        <x:v>UE découverte</x:v>
      </x:c>
      <x:c r="H136" s="28" t="str">
        <x:v>UED 1.1</x:v>
      </x:c>
      <x:c r="I136" s="28" t="str">
        <x:v>Forêts et changements climatiques</x:v>
      </x:c>
      <x:c r="J136" s="29" t="n">
        <x:v>30</x:v>
      </x:c>
      <x:c r="K136" s="29" t="n">
        <x:v>15</x:v>
      </x:c>
      <x:c r="L136" s="29" t="n">
        <x:v>0</x:v>
      </x:c>
      <x:c r="M136" s="29" t="n">
        <x:v>15</x:v>
      </x:c>
      <x:c r="N136" s="29" t="n">
        <x:v>30</x:v>
      </x:c>
      <x:c r="O136" s="29" t="n">
        <x:v>1</x:v>
      </x:c>
      <x:c r="P136" s="29" t="n">
        <x:v>1</x:v>
      </x:c>
      <x:c r="Q136" s="29" t="str">
        <x:v>Enseignement</x:v>
      </x:c>
      <x:c r="R136" s="29" t="str">
        <x:v>Arrêté n°1460 du 04/12/2024</x:v>
      </x:c>
      <x:c r="S136" s="29" t="str">
        <x:v>04/12/2024</x:v>
      </x:c>
      <x:c r="T136" s="29" t="n">
        <x:v>8</x:v>
      </x:c>
      <x:c r="U136" s="29" t="str">
        <x:v>Vérifié sur arrêté</x:v>
      </x:c>
      <x:c r="V136" s="29" t="n">
        <x:f>IF(COUNTA(K136:M136)=0,"",SUM(K136:M136))</x:f>
        <x:v>30</x:v>
      </x:c>
      <x:c r="W136" s="29" t="n">
        <x:f>IF(V136="","",V136-J136)</x:f>
        <x:v>0</x:v>
      </x:c>
      <x:c r="X136" s="28" t="str"/>
    </x:row>
    <x:row r="137">
      <x:c r="A137" s="28" t="str">
        <x:v>REG-136</x:v>
      </x:c>
      <x:c r="B137" s="28" t="str">
        <x:v>Cycle 2</x:v>
      </x:c>
      <x:c r="C137" s="28" t="str">
        <x:v>Spécialité</x:v>
      </x:c>
      <x:c r="D137" s="28" t="str">
        <x:v>2e année</x:v>
      </x:c>
      <x:c r="E137" s="28" t="str">
        <x:v>Santé des forêts</x:v>
      </x:c>
      <x:c r="F137" s="28" t="str">
        <x:v>S4</x:v>
      </x:c>
      <x:c r="G137" s="28" t="str">
        <x:v>UE découverte</x:v>
      </x:c>
      <x:c r="H137" s="28" t="str">
        <x:v>UED 1.1</x:v>
      </x:c>
      <x:c r="I137" s="28" t="str">
        <x:v>Invasions biologiques</x:v>
      </x:c>
      <x:c r="J137" s="29" t="n">
        <x:v>30</x:v>
      </x:c>
      <x:c r="K137" s="29" t="n">
        <x:v>15</x:v>
      </x:c>
      <x:c r="L137" s="29" t="n">
        <x:v>0</x:v>
      </x:c>
      <x:c r="M137" s="29" t="n">
        <x:v>15</x:v>
      </x:c>
      <x:c r="N137" s="29" t="n">
        <x:v>30</x:v>
      </x:c>
      <x:c r="O137" s="29" t="n">
        <x:v>1</x:v>
      </x:c>
      <x:c r="P137" s="29" t="n">
        <x:v>1</x:v>
      </x:c>
      <x:c r="Q137" s="29" t="str">
        <x:v>Enseignement</x:v>
      </x:c>
      <x:c r="R137" s="29" t="str">
        <x:v>Arrêté n°1460 du 04/12/2024</x:v>
      </x:c>
      <x:c r="S137" s="29" t="str">
        <x:v>04/12/2024</x:v>
      </x:c>
      <x:c r="T137" s="29" t="n">
        <x:v>8</x:v>
      </x:c>
      <x:c r="U137" s="29" t="str">
        <x:v>Vérifié sur arrêté</x:v>
      </x:c>
      <x:c r="V137" s="29" t="n">
        <x:f>IF(COUNTA(K137:M137)=0,"",SUM(K137:M137))</x:f>
        <x:v>30</x:v>
      </x:c>
      <x:c r="W137" s="29" t="n">
        <x:f>IF(V137="","",V137-J137)</x:f>
        <x:v>0</x:v>
      </x:c>
      <x:c r="X137" s="28" t="str"/>
    </x:row>
    <x:row r="138">
      <x:c r="A138" s="28" t="str">
        <x:v>REG-137</x:v>
      </x:c>
      <x:c r="B138" s="28" t="str">
        <x:v>Cycle 2</x:v>
      </x:c>
      <x:c r="C138" s="28" t="str">
        <x:v>Spécialité</x:v>
      </x:c>
      <x:c r="D138" s="28" t="str">
        <x:v>2e année</x:v>
      </x:c>
      <x:c r="E138" s="28" t="str">
        <x:v>Santé des forêts</x:v>
      </x:c>
      <x:c r="F138" s="28" t="str">
        <x:v>S4</x:v>
      </x:c>
      <x:c r="G138" s="28" t="str">
        <x:v>UE transversale</x:v>
      </x:c>
      <x:c r="H138" s="28" t="str">
        <x:v>UET 1.1</x:v>
      </x:c>
      <x:c r="I138" s="28" t="str">
        <x:v>Droits de l’environnement</x:v>
      </x:c>
      <x:c r="J138" s="29" t="n">
        <x:v>15</x:v>
      </x:c>
      <x:c r="K138" s="29" t="n">
        <x:v>15</x:v>
      </x:c>
      <x:c r="L138" s="29" t="n">
        <x:v>0</x:v>
      </x:c>
      <x:c r="M138" s="29" t="n">
        <x:v>0</x:v>
      </x:c>
      <x:c r="N138" s="29" t="n">
        <x:v>15</x:v>
      </x:c>
      <x:c r="O138" s="29" t="n">
        <x:v>1</x:v>
      </x:c>
      <x:c r="P138" s="29" t="n">
        <x:v>1</x:v>
      </x:c>
      <x:c r="Q138" s="29" t="str">
        <x:v>Enseignement</x:v>
      </x:c>
      <x:c r="R138" s="29" t="str">
        <x:v>Arrêté n°1460 du 04/12/2024</x:v>
      </x:c>
      <x:c r="S138" s="29" t="str">
        <x:v>04/12/2024</x:v>
      </x:c>
      <x:c r="T138" s="29" t="n">
        <x:v>8</x:v>
      </x:c>
      <x:c r="U138" s="29" t="str">
        <x:v>Vérifié sur arrêté</x:v>
      </x:c>
      <x:c r="V138" s="29" t="n">
        <x:f>IF(COUNTA(K138:M138)=0,"",SUM(K138:M138))</x:f>
        <x:v>15</x:v>
      </x:c>
      <x:c r="W138" s="29" t="n">
        <x:f>IF(V138="","",V138-J138)</x:f>
        <x:v>0</x:v>
      </x:c>
      <x:c r="X138" s="28" t="str"/>
    </x:row>
    <x:row r="139">
      <x:c r="A139" s="28" t="str">
        <x:v>REG-138</x:v>
      </x:c>
      <x:c r="B139" s="28" t="str">
        <x:v>Cycle 2</x:v>
      </x:c>
      <x:c r="C139" s="28" t="str">
        <x:v>Spécialité</x:v>
      </x:c>
      <x:c r="D139" s="28" t="str">
        <x:v>3e année</x:v>
      </x:c>
      <x:c r="E139" s="28" t="str">
        <x:v>Santé des forêts</x:v>
      </x:c>
      <x:c r="F139" s="28" t="str">
        <x:v>S5</x:v>
      </x:c>
      <x:c r="G139" s="28" t="str">
        <x:v>UE fondamentale</x:v>
      </x:c>
      <x:c r="H139" s="28" t="str">
        <x:v>UEF 1.1</x:v>
      </x:c>
      <x:c r="I139" s="28" t="str">
        <x:v>Restauration des forêts</x:v>
      </x:c>
      <x:c r="J139" s="29" t="n">
        <x:v>60</x:v>
      </x:c>
      <x:c r="K139" s="29" t="n">
        <x:v>45</x:v>
      </x:c>
      <x:c r="L139" s="29" t="n">
        <x:v>0</x:v>
      </x:c>
      <x:c r="M139" s="29" t="n">
        <x:v>15</x:v>
      </x:c>
      <x:c r="N139" s="29" t="n">
        <x:v>60</x:v>
      </x:c>
      <x:c r="O139" s="29" t="n">
        <x:v>3</x:v>
      </x:c>
      <x:c r="P139" s="29" t="n">
        <x:v>6</x:v>
      </x:c>
      <x:c r="Q139" s="29" t="str">
        <x:v>Enseignement</x:v>
      </x:c>
      <x:c r="R139" s="29" t="str">
        <x:v>Arrêté n°1460 du 04/12/2024</x:v>
      </x:c>
      <x:c r="S139" s="29" t="str">
        <x:v>04/12/2024</x:v>
      </x:c>
      <x:c r="T139" s="29" t="n">
        <x:v>9</x:v>
      </x:c>
      <x:c r="U139" s="29" t="str">
        <x:v>Vérifié sur arrêté</x:v>
      </x:c>
      <x:c r="V139" s="29" t="n">
        <x:f>IF(COUNTA(K139:M139)=0,"",SUM(K139:M139))</x:f>
        <x:v>60</x:v>
      </x:c>
      <x:c r="W139" s="29" t="n">
        <x:f>IF(V139="","",V139-J139)</x:f>
        <x:v>0</x:v>
      </x:c>
      <x:c r="X139" s="28" t="str"/>
    </x:row>
    <x:row r="140">
      <x:c r="A140" s="28" t="str">
        <x:v>REG-139</x:v>
      </x:c>
      <x:c r="B140" s="28" t="str">
        <x:v>Cycle 2</x:v>
      </x:c>
      <x:c r="C140" s="28" t="str">
        <x:v>Spécialité</x:v>
      </x:c>
      <x:c r="D140" s="28" t="str">
        <x:v>3e année</x:v>
      </x:c>
      <x:c r="E140" s="28" t="str">
        <x:v>Santé des forêts</x:v>
      </x:c>
      <x:c r="F140" s="28" t="str">
        <x:v>S5</x:v>
      </x:c>
      <x:c r="G140" s="28" t="str">
        <x:v>UE fondamentale</x:v>
      </x:c>
      <x:c r="H140" s="28" t="str">
        <x:v>UEF 1.1</x:v>
      </x:c>
      <x:c r="I140" s="28" t="str">
        <x:v>Défense et restauration des sols (DRS)</x:v>
      </x:c>
      <x:c r="J140" s="29" t="n">
        <x:v>60</x:v>
      </x:c>
      <x:c r="K140" s="29" t="n">
        <x:v>45</x:v>
      </x:c>
      <x:c r="L140" s="29" t="n">
        <x:v>0</x:v>
      </x:c>
      <x:c r="M140" s="29" t="n">
        <x:v>15</x:v>
      </x:c>
      <x:c r="N140" s="29" t="n">
        <x:v>60</x:v>
      </x:c>
      <x:c r="O140" s="29" t="n">
        <x:v>3</x:v>
      </x:c>
      <x:c r="P140" s="29" t="n">
        <x:v>6</x:v>
      </x:c>
      <x:c r="Q140" s="29" t="str">
        <x:v>Enseignement</x:v>
      </x:c>
      <x:c r="R140" s="29" t="str">
        <x:v>Arrêté n°1460 du 04/12/2024</x:v>
      </x:c>
      <x:c r="S140" s="29" t="str">
        <x:v>04/12/2024</x:v>
      </x:c>
      <x:c r="T140" s="29" t="n">
        <x:v>9</x:v>
      </x:c>
      <x:c r="U140" s="29" t="str">
        <x:v>Vérifié sur arrêté</x:v>
      </x:c>
      <x:c r="V140" s="29" t="n">
        <x:f>IF(COUNTA(K140:M140)=0,"",SUM(K140:M140))</x:f>
        <x:v>60</x:v>
      </x:c>
      <x:c r="W140" s="29" t="n">
        <x:f>IF(V140="","",V140-J140)</x:f>
        <x:v>0</x:v>
      </x:c>
      <x:c r="X140" s="28" t="str"/>
    </x:row>
    <x:row r="141">
      <x:c r="A141" s="28" t="str">
        <x:v>REG-140</x:v>
      </x:c>
      <x:c r="B141" s="28" t="str">
        <x:v>Cycle 2</x:v>
      </x:c>
      <x:c r="C141" s="28" t="str">
        <x:v>Spécialité</x:v>
      </x:c>
      <x:c r="D141" s="28" t="str">
        <x:v>3e année</x:v>
      </x:c>
      <x:c r="E141" s="28" t="str">
        <x:v>Santé des forêts</x:v>
      </x:c>
      <x:c r="F141" s="28" t="str">
        <x:v>S5</x:v>
      </x:c>
      <x:c r="G141" s="28" t="str">
        <x:v>UE fondamentale</x:v>
      </x:c>
      <x:c r="H141" s="28" t="str">
        <x:v>UEF 1.2</x:v>
      </x:c>
      <x:c r="I141" s="28" t="str">
        <x:v>Défense des forêts contre les incendies (DFCI)</x:v>
      </x:c>
      <x:c r="J141" s="29" t="n">
        <x:v>60</x:v>
      </x:c>
      <x:c r="K141" s="29" t="n">
        <x:v>45</x:v>
      </x:c>
      <x:c r="L141" s="29" t="n">
        <x:v>0</x:v>
      </x:c>
      <x:c r="M141" s="29" t="n">
        <x:v>15</x:v>
      </x:c>
      <x:c r="N141" s="29" t="n">
        <x:v>60</x:v>
      </x:c>
      <x:c r="O141" s="29" t="n">
        <x:v>3</x:v>
      </x:c>
      <x:c r="P141" s="29" t="n">
        <x:v>6</x:v>
      </x:c>
      <x:c r="Q141" s="29" t="str">
        <x:v>Enseignement</x:v>
      </x:c>
      <x:c r="R141" s="29" t="str">
        <x:v>Arrêté n°1460 du 04/12/2024</x:v>
      </x:c>
      <x:c r="S141" s="29" t="str">
        <x:v>04/12/2024</x:v>
      </x:c>
      <x:c r="T141" s="29" t="n">
        <x:v>9</x:v>
      </x:c>
      <x:c r="U141" s="29" t="str">
        <x:v>Vérifié sur arrêté</x:v>
      </x:c>
      <x:c r="V141" s="29" t="n">
        <x:f>IF(COUNTA(K141:M141)=0,"",SUM(K141:M141))</x:f>
        <x:v>60</x:v>
      </x:c>
      <x:c r="W141" s="29" t="n">
        <x:f>IF(V141="","",V141-J141)</x:f>
        <x:v>0</x:v>
      </x:c>
      <x:c r="X141" s="28" t="str"/>
    </x:row>
    <x:row r="142">
      <x:c r="A142" s="28" t="str">
        <x:v>REG-141</x:v>
      </x:c>
      <x:c r="B142" s="28" t="str">
        <x:v>Cycle 2</x:v>
      </x:c>
      <x:c r="C142" s="28" t="str">
        <x:v>Spécialité</x:v>
      </x:c>
      <x:c r="D142" s="28" t="str">
        <x:v>3e année</x:v>
      </x:c>
      <x:c r="E142" s="28" t="str">
        <x:v>Santé des forêts</x:v>
      </x:c>
      <x:c r="F142" s="28" t="str">
        <x:v>S5</x:v>
      </x:c>
      <x:c r="G142" s="28" t="str">
        <x:v>UE fondamentale</x:v>
      </x:c>
      <x:c r="H142" s="28" t="str">
        <x:v>UEF 1.2</x:v>
      </x:c>
      <x:c r="I142" s="28" t="str">
        <x:v>Conservation des ressources forestières</x:v>
      </x:c>
      <x:c r="J142" s="29" t="n">
        <x:v>60</x:v>
      </x:c>
      <x:c r="K142" s="29" t="n">
        <x:v>45</x:v>
      </x:c>
      <x:c r="L142" s="29" t="n">
        <x:v>0</x:v>
      </x:c>
      <x:c r="M142" s="29" t="n">
        <x:v>15</x:v>
      </x:c>
      <x:c r="N142" s="29" t="n">
        <x:v>60</x:v>
      </x:c>
      <x:c r="O142" s="29" t="n">
        <x:v>3</x:v>
      </x:c>
      <x:c r="P142" s="29" t="n">
        <x:v>6</x:v>
      </x:c>
      <x:c r="Q142" s="29" t="str">
        <x:v>Enseignement</x:v>
      </x:c>
      <x:c r="R142" s="29" t="str">
        <x:v>Arrêté n°1460 du 04/12/2024</x:v>
      </x:c>
      <x:c r="S142" s="29" t="str">
        <x:v>04/12/2024</x:v>
      </x:c>
      <x:c r="T142" s="29" t="n">
        <x:v>9</x:v>
      </x:c>
      <x:c r="U142" s="29" t="str">
        <x:v>Vérifié sur arrêté</x:v>
      </x:c>
      <x:c r="V142" s="29" t="n">
        <x:f>IF(COUNTA(K142:M142)=0,"",SUM(K142:M142))</x:f>
        <x:v>60</x:v>
      </x:c>
      <x:c r="W142" s="29" t="n">
        <x:f>IF(V142="","",V142-J142)</x:f>
        <x:v>0</x:v>
      </x:c>
      <x:c r="X142" s="28" t="str"/>
    </x:row>
    <x:row r="143">
      <x:c r="A143" s="28" t="str">
        <x:v>REG-142</x:v>
      </x:c>
      <x:c r="B143" s="28" t="str">
        <x:v>Cycle 2</x:v>
      </x:c>
      <x:c r="C143" s="28" t="str">
        <x:v>Spécialité</x:v>
      </x:c>
      <x:c r="D143" s="28" t="str">
        <x:v>3e année</x:v>
      </x:c>
      <x:c r="E143" s="28" t="str">
        <x:v>Santé des forêts</x:v>
      </x:c>
      <x:c r="F143" s="28" t="str">
        <x:v>S5</x:v>
      </x:c>
      <x:c r="G143" s="28" t="str">
        <x:v>UE méthodologique</x:v>
      </x:c>
      <x:c r="H143" s="28" t="str">
        <x:v>UEM 1.1</x:v>
      </x:c>
      <x:c r="I143" s="28" t="str">
        <x:v>Modélisation spatiale des forêts</x:v>
      </x:c>
      <x:c r="J143" s="29" t="n">
        <x:v>45</x:v>
      </x:c>
      <x:c r="K143" s="29" t="n">
        <x:v>30</x:v>
      </x:c>
      <x:c r="L143" s="29" t="n">
        <x:v>0</x:v>
      </x:c>
      <x:c r="M143" s="29" t="n">
        <x:v>15</x:v>
      </x:c>
      <x:c r="N143" s="29" t="n">
        <x:v>45</x:v>
      </x:c>
      <x:c r="O143" s="29" t="n">
        <x:v>2</x:v>
      </x:c>
      <x:c r="P143" s="29" t="n">
        <x:v>3</x:v>
      </x:c>
      <x:c r="Q143" s="29" t="str">
        <x:v>Enseignement</x:v>
      </x:c>
      <x:c r="R143" s="29" t="str">
        <x:v>Arrêté n°1460 du 04/12/2024</x:v>
      </x:c>
      <x:c r="S143" s="29" t="str">
        <x:v>04/12/2024</x:v>
      </x:c>
      <x:c r="T143" s="29" t="n">
        <x:v>9</x:v>
      </x:c>
      <x:c r="U143" s="29" t="str">
        <x:v>Vérifié sur arrêté</x:v>
      </x:c>
      <x:c r="V143" s="29" t="n">
        <x:f>IF(COUNTA(K143:M143)=0,"",SUM(K143:M143))</x:f>
        <x:v>45</x:v>
      </x:c>
      <x:c r="W143" s="29" t="n">
        <x:f>IF(V143="","",V143-J143)</x:f>
        <x:v>0</x:v>
      </x:c>
      <x:c r="X143" s="28" t="str"/>
    </x:row>
    <x:row r="144">
      <x:c r="A144" s="28" t="str">
        <x:v>REG-143</x:v>
      </x:c>
      <x:c r="B144" s="28" t="str">
        <x:v>Cycle 2</x:v>
      </x:c>
      <x:c r="C144" s="28" t="str">
        <x:v>Spécialité</x:v>
      </x:c>
      <x:c r="D144" s="28" t="str">
        <x:v>3e année</x:v>
      </x:c>
      <x:c r="E144" s="28" t="str">
        <x:v>Santé des forêts</x:v>
      </x:c>
      <x:c r="F144" s="28" t="str">
        <x:v>S5</x:v>
      </x:c>
      <x:c r="G144" s="28" t="str">
        <x:v>UE découverte</x:v>
      </x:c>
      <x:c r="H144" s="28" t="str">
        <x:v>UED 1.1</x:v>
      </x:c>
      <x:c r="I144" s="28" t="str">
        <x:v>Gestion durable des sols</x:v>
      </x:c>
      <x:c r="J144" s="29" t="n">
        <x:v>30</x:v>
      </x:c>
      <x:c r="K144" s="29" t="n">
        <x:v>21</x:v>
      </x:c>
      <x:c r="L144" s="29" t="n">
        <x:v>9</x:v>
      </x:c>
      <x:c r="M144" s="29" t="n">
        <x:v>0</x:v>
      </x:c>
      <x:c r="N144" s="29" t="n">
        <x:v>30</x:v>
      </x:c>
      <x:c r="O144" s="29" t="n">
        <x:v>1</x:v>
      </x:c>
      <x:c r="P144" s="29" t="n">
        <x:v>1</x:v>
      </x:c>
      <x:c r="Q144" s="29" t="str">
        <x:v>Enseignement</x:v>
      </x:c>
      <x:c r="R144" s="29" t="str">
        <x:v>Arrêté n°1460 du 04/12/2024</x:v>
      </x:c>
      <x:c r="S144" s="29" t="str">
        <x:v>04/12/2024</x:v>
      </x:c>
      <x:c r="T144" s="29" t="n">
        <x:v>9</x:v>
      </x:c>
      <x:c r="U144" s="29" t="str">
        <x:v>Vérifié sur arrêté</x:v>
      </x:c>
      <x:c r="V144" s="29" t="n">
        <x:f>IF(COUNTA(K144:M144)=0,"",SUM(K144:M144))</x:f>
        <x:v>30</x:v>
      </x:c>
      <x:c r="W144" s="29" t="n">
        <x:f>IF(V144="","",V144-J144)</x:f>
        <x:v>0</x:v>
      </x:c>
      <x:c r="X144" s="28" t="str"/>
    </x:row>
    <x:row r="145">
      <x:c r="A145" s="28" t="str">
        <x:v>REG-144</x:v>
      </x:c>
      <x:c r="B145" s="28" t="str">
        <x:v>Cycle 2</x:v>
      </x:c>
      <x:c r="C145" s="28" t="str">
        <x:v>Spécialité</x:v>
      </x:c>
      <x:c r="D145" s="28" t="str">
        <x:v>3e année</x:v>
      </x:c>
      <x:c r="E145" s="28" t="str">
        <x:v>Santé des forêts</x:v>
      </x:c>
      <x:c r="F145" s="28" t="str">
        <x:v>S5</x:v>
      </x:c>
      <x:c r="G145" s="28" t="str">
        <x:v>UE découverte</x:v>
      </x:c>
      <x:c r="H145" s="28" t="str">
        <x:v>UED 1.1</x:v>
      </x:c>
      <x:c r="I145" s="28" t="str">
        <x:v>Barrage Vert</x:v>
      </x:c>
      <x:c r="J145" s="29" t="n">
        <x:v>30</x:v>
      </x:c>
      <x:c r="K145" s="29" t="n">
        <x:v>21</x:v>
      </x:c>
      <x:c r="L145" s="29" t="n">
        <x:v>9</x:v>
      </x:c>
      <x:c r="M145" s="29" t="n">
        <x:v>0</x:v>
      </x:c>
      <x:c r="N145" s="29" t="n">
        <x:v>30</x:v>
      </x:c>
      <x:c r="O145" s="29" t="n">
        <x:v>1</x:v>
      </x:c>
      <x:c r="P145" s="29" t="n">
        <x:v>1</x:v>
      </x:c>
      <x:c r="Q145" s="29" t="str">
        <x:v>Enseignement</x:v>
      </x:c>
      <x:c r="R145" s="29" t="str">
        <x:v>Arrêté n°1460 du 04/12/2024</x:v>
      </x:c>
      <x:c r="S145" s="29" t="str">
        <x:v>04/12/2024</x:v>
      </x:c>
      <x:c r="T145" s="29" t="n">
        <x:v>9</x:v>
      </x:c>
      <x:c r="U145" s="29" t="str">
        <x:v>Vérifié sur arrêté</x:v>
      </x:c>
      <x:c r="V145" s="29" t="n">
        <x:f>IF(COUNTA(K145:M145)=0,"",SUM(K145:M145))</x:f>
        <x:v>30</x:v>
      </x:c>
      <x:c r="W145" s="29" t="n">
        <x:f>IF(V145="","",V145-J145)</x:f>
        <x:v>0</x:v>
      </x:c>
      <x:c r="X145" s="28" t="str"/>
    </x:row>
    <x:row r="146">
      <x:c r="A146" s="28" t="str">
        <x:v>REG-145</x:v>
      </x:c>
      <x:c r="B146" s="28" t="str">
        <x:v>Cycle 2</x:v>
      </x:c>
      <x:c r="C146" s="28" t="str">
        <x:v>Spécialité</x:v>
      </x:c>
      <x:c r="D146" s="28" t="str">
        <x:v>3e année</x:v>
      </x:c>
      <x:c r="E146" s="28" t="str">
        <x:v>Santé des forêts</x:v>
      </x:c>
      <x:c r="F146" s="28" t="str">
        <x:v>S5</x:v>
      </x:c>
      <x:c r="G146" s="28" t="str">
        <x:v>UE transversale</x:v>
      </x:c>
      <x:c r="H146" s="28" t="str">
        <x:v>UET 1.1</x:v>
      </x:c>
      <x:c r="I146" s="28" t="str">
        <x:v>Écotourisme</x:v>
      </x:c>
      <x:c r="J146" s="29" t="n">
        <x:v>30</x:v>
      </x:c>
      <x:c r="K146" s="29" t="n">
        <x:v>30</x:v>
      </x:c>
      <x:c r="L146" s="29" t="n">
        <x:v>0</x:v>
      </x:c>
      <x:c r="M146" s="29" t="n">
        <x:v>0</x:v>
      </x:c>
      <x:c r="N146" s="29" t="n">
        <x:v>30</x:v>
      </x:c>
      <x:c r="O146" s="29" t="n">
        <x:v>1</x:v>
      </x:c>
      <x:c r="P146" s="29" t="n">
        <x:v>1</x:v>
      </x:c>
      <x:c r="Q146" s="29" t="str">
        <x:v>Enseignement</x:v>
      </x:c>
      <x:c r="R146" s="29" t="str">
        <x:v>Arrêté n°1460 du 04/12/2024</x:v>
      </x:c>
      <x:c r="S146" s="29" t="str">
        <x:v>04/12/2024</x:v>
      </x:c>
      <x:c r="T146" s="29" t="n">
        <x:v>9</x:v>
      </x:c>
      <x:c r="U146" s="29" t="str">
        <x:v>Vérifié sur arrêté</x:v>
      </x:c>
      <x:c r="V146" s="29" t="n">
        <x:f>IF(COUNTA(K146:M146)=0,"",SUM(K146:M146))</x:f>
        <x:v>30</x:v>
      </x:c>
      <x:c r="W146" s="29" t="n">
        <x:f>IF(V146="","",V146-J146)</x:f>
        <x:v>0</x:v>
      </x:c>
      <x:c r="X146" s="28" t="str"/>
    </x:row>
    <x:row r="147">
      <x:c r="A147" s="28" t="str">
        <x:v>REG-146</x:v>
      </x:c>
      <x:c r="B147" s="28" t="str">
        <x:v>Cycle 2</x:v>
      </x:c>
      <x:c r="C147" s="28" t="str">
        <x:v>Spécialité</x:v>
      </x:c>
      <x:c r="D147" s="28" t="str">
        <x:v>3e année</x:v>
      </x:c>
      <x:c r="E147" s="28" t="str">
        <x:v>Santé des forêts</x:v>
      </x:c>
      <x:c r="F147" s="28" t="str">
        <x:v>S6</x:v>
      </x:c>
      <x:c r="G147" s="28" t="str">
        <x:v>Projet de fin d’études</x:v>
      </x:c>
      <x:c r="H147" s="28" t="str"/>
      <x:c r="I147" s="28" t="str">
        <x:v>Recherche bibliographique</x:v>
      </x:c>
      <x:c r="J147" s="29" t="n">
        <x:v>100</x:v>
      </x:c>
      <x:c r="K147" s="29"/>
      <x:c r="L147" s="29"/>
      <x:c r="M147" s="29"/>
      <x:c r="N147" s="29"/>
      <x:c r="O147" s="29"/>
      <x:c r="P147" s="29"/>
      <x:c r="Q147" s="29" t="str">
        <x:v>Activité PFE</x:v>
      </x:c>
      <x:c r="R147" s="29" t="str">
        <x:v>Arrêté n°1460 du 04/12/2024</x:v>
      </x:c>
      <x:c r="S147" s="29" t="str">
        <x:v>04/12/2024</x:v>
      </x:c>
      <x:c r="T147" s="29" t="n">
        <x:v>10</x:v>
      </x:c>
      <x:c r="U147" s="29" t="str">
        <x:v>Vérifié sur arrêté</x:v>
      </x:c>
      <x:c r="V147" s="29" t="str">
        <x:f>IF(COUNTA(K147:M147)=0,"",SUM(K147:M147))</x:f>
      </x:c>
      <x:c r="W147" s="29" t="str">
        <x:f>IF(V147="","",V147-J147)</x:f>
      </x:c>
      <x:c r="X147" s="28" t="str">
        <x:v>Travail personnel global du S6 = 375 h ; total annoncé = 750 h.</x:v>
      </x:c>
    </x:row>
    <x:row r="148">
      <x:c r="A148" s="28" t="str">
        <x:v>REG-147</x:v>
      </x:c>
      <x:c r="B148" s="28" t="str">
        <x:v>Cycle 2</x:v>
      </x:c>
      <x:c r="C148" s="28" t="str">
        <x:v>Spécialité</x:v>
      </x:c>
      <x:c r="D148" s="28" t="str">
        <x:v>3e année</x:v>
      </x:c>
      <x:c r="E148" s="28" t="str">
        <x:v>Santé des forêts</x:v>
      </x:c>
      <x:c r="F148" s="28" t="str">
        <x:v>S6</x:v>
      </x:c>
      <x:c r="G148" s="28" t="str">
        <x:v>Projet de fin d’études</x:v>
      </x:c>
      <x:c r="H148" s="28" t="str"/>
      <x:c r="I148" s="28" t="str">
        <x:v>Expérimentation (laboratoire et/ou terrain)</x:v>
      </x:c>
      <x:c r="J148" s="29" t="n">
        <x:v>125</x:v>
      </x:c>
      <x:c r="K148" s="29"/>
      <x:c r="L148" s="29"/>
      <x:c r="M148" s="29"/>
      <x:c r="N148" s="29"/>
      <x:c r="O148" s="29"/>
      <x:c r="P148" s="29"/>
      <x:c r="Q148" s="29" t="str">
        <x:v>Activité PFE</x:v>
      </x:c>
      <x:c r="R148" s="29" t="str">
        <x:v>Arrêté n°1460 du 04/12/2024</x:v>
      </x:c>
      <x:c r="S148" s="29" t="str">
        <x:v>04/12/2024</x:v>
      </x:c>
      <x:c r="T148" s="29" t="n">
        <x:v>10</x:v>
      </x:c>
      <x:c r="U148" s="29" t="str">
        <x:v>Vérifié sur arrêté</x:v>
      </x:c>
      <x:c r="V148" s="29" t="str">
        <x:f>IF(COUNTA(K148:M148)=0,"",SUM(K148:M148))</x:f>
      </x:c>
      <x:c r="W148" s="29" t="str">
        <x:f>IF(V148="","",V148-J148)</x:f>
      </x:c>
      <x:c r="X148" s="28" t="str">
        <x:v>Travail personnel global du S6 = 375 h ; total annoncé = 750 h.</x:v>
      </x:c>
    </x:row>
    <x:row r="149">
      <x:c r="A149" s="28" t="str">
        <x:v>REG-148</x:v>
      </x:c>
      <x:c r="B149" s="28" t="str">
        <x:v>Cycle 2</x:v>
      </x:c>
      <x:c r="C149" s="28" t="str">
        <x:v>Spécialité</x:v>
      </x:c>
      <x:c r="D149" s="28" t="str">
        <x:v>3e année</x:v>
      </x:c>
      <x:c r="E149" s="28" t="str">
        <x:v>Santé des forêts</x:v>
      </x:c>
      <x:c r="F149" s="28" t="str">
        <x:v>S6</x:v>
      </x:c>
      <x:c r="G149" s="28" t="str">
        <x:v>Projet de fin d’études</x:v>
      </x:c>
      <x:c r="H149" s="28" t="str"/>
      <x:c r="I149" s="28" t="str">
        <x:v>Rédaction</x:v>
      </x:c>
      <x:c r="J149" s="29" t="n">
        <x:v>100</x:v>
      </x:c>
      <x:c r="K149" s="29"/>
      <x:c r="L149" s="29"/>
      <x:c r="M149" s="29"/>
      <x:c r="N149" s="29"/>
      <x:c r="O149" s="29"/>
      <x:c r="P149" s="29"/>
      <x:c r="Q149" s="29" t="str">
        <x:v>Activité PFE</x:v>
      </x:c>
      <x:c r="R149" s="29" t="str">
        <x:v>Arrêté n°1460 du 04/12/2024</x:v>
      </x:c>
      <x:c r="S149" s="29" t="str">
        <x:v>04/12/2024</x:v>
      </x:c>
      <x:c r="T149" s="29" t="n">
        <x:v>10</x:v>
      </x:c>
      <x:c r="U149" s="29" t="str">
        <x:v>Vérifié sur arrêté</x:v>
      </x:c>
      <x:c r="V149" s="29" t="str">
        <x:f>IF(COUNTA(K149:M149)=0,"",SUM(K149:M149))</x:f>
      </x:c>
      <x:c r="W149" s="29" t="str">
        <x:f>IF(V149="","",V149-J149)</x:f>
      </x:c>
      <x:c r="X149" s="28" t="str">
        <x:v>Travail personnel global du S6 = 375 h ; total annoncé = 750 h.</x:v>
      </x:c>
    </x:row>
    <x:row r="150">
      <x:c r="A150" s="28" t="str">
        <x:v>REG-149</x:v>
      </x:c>
      <x:c r="B150" s="28" t="str">
        <x:v>Cycle 2</x:v>
      </x:c>
      <x:c r="C150" s="28" t="str">
        <x:v>Spécialité</x:v>
      </x:c>
      <x:c r="D150" s="28" t="str">
        <x:v>3e année</x:v>
      </x:c>
      <x:c r="E150" s="28" t="str">
        <x:v>Santé des forêts</x:v>
      </x:c>
      <x:c r="F150" s="28" t="str">
        <x:v>S6</x:v>
      </x:c>
      <x:c r="G150" s="28" t="str">
        <x:v>Projet de fin d’études</x:v>
      </x:c>
      <x:c r="H150" s="28" t="str"/>
      <x:c r="I150" s="28" t="str">
        <x:v>Encadrement</x:v>
      </x:c>
      <x:c r="J150" s="29" t="n">
        <x:v>50</x:v>
      </x:c>
      <x:c r="K150" s="29"/>
      <x:c r="L150" s="29"/>
      <x:c r="M150" s="29"/>
      <x:c r="N150" s="29"/>
      <x:c r="O150" s="29"/>
      <x:c r="P150" s="29"/>
      <x:c r="Q150" s="29" t="str">
        <x:v>Activité PFE</x:v>
      </x:c>
      <x:c r="R150" s="29" t="str">
        <x:v>Arrêté n°1460 du 04/12/2024</x:v>
      </x:c>
      <x:c r="S150" s="29" t="str">
        <x:v>04/12/2024</x:v>
      </x:c>
      <x:c r="T150" s="29" t="n">
        <x:v>10</x:v>
      </x:c>
      <x:c r="U150" s="29" t="str">
        <x:v>Vérifié sur arrêté</x:v>
      </x:c>
      <x:c r="V150" s="29" t="str">
        <x:f>IF(COUNTA(K150:M150)=0,"",SUM(K150:M150))</x:f>
      </x:c>
      <x:c r="W150" s="29" t="str">
        <x:f>IF(V150="","",V150-J150)</x:f>
      </x:c>
      <x:c r="X150" s="28" t="str">
        <x:v>Travail personnel global du S6 = 375 h ; total annoncé = 750 h.</x:v>
      </x:c>
    </x:row>
    <x:row r="151">
      <x:c r="A151" s="28" t="str">
        <x:v>REG-150</x:v>
      </x:c>
      <x:c r="B151" s="28" t="str">
        <x:v>Cycle 2</x:v>
      </x:c>
      <x:c r="C151" s="28" t="str">
        <x:v>Formation complémentaire</x:v>
      </x:c>
      <x:c r="D151" s="28" t="str">
        <x:v>À préciser</x:v>
      </x:c>
      <x:c r="E151" s="28" t="str">
        <x:v>Formation complémentaire Master – portée réglementaire : Sciences forestières, Géomatique appliquée à la foresterie, Gestion des forêts, Santé des forêts</x:v>
      </x:c>
      <x:c r="F151" s="28" t="str">
        <x:v>Bloc complémentaire 1</x:v>
      </x:c>
      <x:c r="G151" s="28" t="str">
        <x:v>Formation complémentaire</x:v>
      </x:c>
      <x:c r="H151" s="28" t="str"/>
      <x:c r="I151" s="28" t="str">
        <x:v>Programmes libres et open source</x:v>
      </x:c>
      <x:c r="J151" s="29" t="n">
        <x:v>35</x:v>
      </x:c>
      <x:c r="K151" s="29" t="n">
        <x:v>20</x:v>
      </x:c>
      <x:c r="L151" s="29" t="n">
        <x:v>0</x:v>
      </x:c>
      <x:c r="M151" s="29" t="n">
        <x:v>15</x:v>
      </x:c>
      <x:c r="N151" s="29" t="n">
        <x:v>0</x:v>
      </x:c>
      <x:c r="O151" s="29" t="n">
        <x:v>3</x:v>
      </x:c>
      <x:c r="P151" s="29"/>
      <x:c r="Q151" s="29" t="str">
        <x:v>Formation complémentaire</x:v>
      </x:c>
      <x:c r="R151" s="29" t="str">
        <x:v>Arrêté n°1454 du 30/10/2025</x:v>
      </x:c>
      <x:c r="S151" s="29" t="str">
        <x:v>30/10/2025</x:v>
      </x:c>
      <x:c r="T151" s="29" t="n">
        <x:v>6</x:v>
      </x:c>
      <x:c r="U151" s="29" t="str">
        <x:v>Vérifié sur arrêté</x:v>
      </x:c>
      <x:c r="V151" s="29" t="n">
        <x:f>IF(COUNTA(K151:M151)=0,"",SUM(K151:M151))</x:f>
        <x:v>35</x:v>
      </x:c>
      <x:c r="W151" s="29" t="n">
        <x:f>IF(V151="","",V151-J151)</x:f>
        <x:v>0</x:v>
      </x:c>
      <x:c r="X151" s="28" t="str">
        <x:v>Rattachement exact par semestre/spécialité non indiqué dans l’annexe fournie.</x:v>
      </x:c>
    </x:row>
    <x:row r="152">
      <x:c r="A152" s="28" t="str">
        <x:v>REG-151</x:v>
      </x:c>
      <x:c r="B152" s="28" t="str">
        <x:v>Cycle 2</x:v>
      </x:c>
      <x:c r="C152" s="28" t="str">
        <x:v>Formation complémentaire</x:v>
      </x:c>
      <x:c r="D152" s="28" t="str">
        <x:v>À préciser</x:v>
      </x:c>
      <x:c r="E152" s="28" t="str">
        <x:v>Formation complémentaire Master – portée réglementaire : Sciences forestières, Géomatique appliquée à la foresterie, Gestion des forêts, Santé des forêts</x:v>
      </x:c>
      <x:c r="F152" s="28" t="str">
        <x:v>Bloc complémentaire 1</x:v>
      </x:c>
      <x:c r="G152" s="28" t="str">
        <x:v>Formation complémentaire</x:v>
      </x:c>
      <x:c r="H152" s="28" t="str"/>
      <x:c r="I152" s="28" t="str">
        <x:v>Changement global</x:v>
      </x:c>
      <x:c r="J152" s="29" t="n">
        <x:v>20</x:v>
      </x:c>
      <x:c r="K152" s="29" t="n">
        <x:v>20</x:v>
      </x:c>
      <x:c r="L152" s="29" t="n">
        <x:v>0</x:v>
      </x:c>
      <x:c r="M152" s="29" t="n">
        <x:v>0</x:v>
      </x:c>
      <x:c r="N152" s="29" t="n">
        <x:v>0</x:v>
      </x:c>
      <x:c r="O152" s="29" t="n">
        <x:v>2</x:v>
      </x:c>
      <x:c r="P152" s="29"/>
      <x:c r="Q152" s="29" t="str">
        <x:v>Formation complémentaire</x:v>
      </x:c>
      <x:c r="R152" s="29" t="str">
        <x:v>Arrêté n°1454 du 30/10/2025</x:v>
      </x:c>
      <x:c r="S152" s="29" t="str">
        <x:v>30/10/2025</x:v>
      </x:c>
      <x:c r="T152" s="29" t="n">
        <x:v>6</x:v>
      </x:c>
      <x:c r="U152" s="29" t="str">
        <x:v>Vérifié sur arrêté</x:v>
      </x:c>
      <x:c r="V152" s="29" t="n">
        <x:f>IF(COUNTA(K152:M152)=0,"",SUM(K152:M152))</x:f>
        <x:v>20</x:v>
      </x:c>
      <x:c r="W152" s="29" t="n">
        <x:f>IF(V152="","",V152-J152)</x:f>
        <x:v>0</x:v>
      </x:c>
      <x:c r="X152" s="28" t="str">
        <x:v>Rattachement exact par semestre/spécialité non indiqué dans l’annexe fournie.</x:v>
      </x:c>
    </x:row>
    <x:row r="153">
      <x:c r="A153" s="28" t="str">
        <x:v>REG-152</x:v>
      </x:c>
      <x:c r="B153" s="28" t="str">
        <x:v>Cycle 2</x:v>
      </x:c>
      <x:c r="C153" s="28" t="str">
        <x:v>Formation complémentaire</x:v>
      </x:c>
      <x:c r="D153" s="28" t="str">
        <x:v>À préciser</x:v>
      </x:c>
      <x:c r="E153" s="28" t="str">
        <x:v>Formation complémentaire Master – portée réglementaire : Sciences forestières, Géomatique appliquée à la foresterie, Gestion des forêts, Santé des forêts</x:v>
      </x:c>
      <x:c r="F153" s="28" t="str">
        <x:v>Bloc complémentaire 2</x:v>
      </x:c>
      <x:c r="G153" s="28" t="str">
        <x:v>Formation complémentaire</x:v>
      </x:c>
      <x:c r="H153" s="28" t="str"/>
      <x:c r="I153" s="28" t="str">
        <x:v>Programmation informatique appliquée aux sciences et technologies</x:v>
      </x:c>
      <x:c r="J153" s="29" t="n">
        <x:v>35</x:v>
      </x:c>
      <x:c r="K153" s="29" t="n">
        <x:v>20</x:v>
      </x:c>
      <x:c r="L153" s="29" t="n">
        <x:v>0</x:v>
      </x:c>
      <x:c r="M153" s="29" t="n">
        <x:v>15</x:v>
      </x:c>
      <x:c r="N153" s="29" t="n">
        <x:v>0</x:v>
      </x:c>
      <x:c r="O153" s="29" t="n">
        <x:v>3</x:v>
      </x:c>
      <x:c r="P153" s="29"/>
      <x:c r="Q153" s="29" t="str">
        <x:v>Formation complémentaire</x:v>
      </x:c>
      <x:c r="R153" s="29" t="str">
        <x:v>Arrêté n°1454 du 30/10/2025</x:v>
      </x:c>
      <x:c r="S153" s="29" t="str">
        <x:v>30/10/2025</x:v>
      </x:c>
      <x:c r="T153" s="29" t="n">
        <x:v>6</x:v>
      </x:c>
      <x:c r="U153" s="29" t="str">
        <x:v>Vérifié sur arrêté</x:v>
      </x:c>
      <x:c r="V153" s="29" t="n">
        <x:f>IF(COUNTA(K153:M153)=0,"",SUM(K153:M153))</x:f>
        <x:v>35</x:v>
      </x:c>
      <x:c r="W153" s="29" t="n">
        <x:f>IF(V153="","",V153-J153)</x:f>
        <x:v>0</x:v>
      </x:c>
      <x:c r="X153" s="28" t="str">
        <x:v>Rattachement exact par semestre/spécialité non indiqué dans l’annexe fournie.</x:v>
      </x:c>
    </x:row>
    <x:row r="154">
      <x:c r="A154" s="28" t="str">
        <x:v>REG-153</x:v>
      </x:c>
      <x:c r="B154" s="28" t="str">
        <x:v>Cycle 2</x:v>
      </x:c>
      <x:c r="C154" s="28" t="str">
        <x:v>Formation complémentaire</x:v>
      </x:c>
      <x:c r="D154" s="28" t="str">
        <x:v>À préciser</x:v>
      </x:c>
      <x:c r="E154" s="28" t="str">
        <x:v>Formation complémentaire Master – portée réglementaire : Sciences forestières, Géomatique appliquée à la foresterie, Gestion des forêts, Santé des forêts</x:v>
      </x:c>
      <x:c r="F154" s="28" t="str">
        <x:v>Bloc complémentaire 2</x:v>
      </x:c>
      <x:c r="G154" s="28" t="str">
        <x:v>Formation complémentaire</x:v>
      </x:c>
      <x:c r="H154" s="28" t="str"/>
      <x:c r="I154" s="28" t="str">
        <x:v>Technique de reboisement</x:v>
      </x:c>
      <x:c r="J154" s="29" t="n">
        <x:v>20</x:v>
      </x:c>
      <x:c r="K154" s="29" t="n">
        <x:v>20</x:v>
      </x:c>
      <x:c r="L154" s="29" t="n">
        <x:v>0</x:v>
      </x:c>
      <x:c r="M154" s="29" t="n">
        <x:v>0</x:v>
      </x:c>
      <x:c r="N154" s="29" t="n">
        <x:v>0</x:v>
      </x:c>
      <x:c r="O154" s="29" t="n">
        <x:v>2</x:v>
      </x:c>
      <x:c r="P154" s="29"/>
      <x:c r="Q154" s="29" t="str">
        <x:v>Formation complémentaire</x:v>
      </x:c>
      <x:c r="R154" s="29" t="str">
        <x:v>Arrêté n°1454 du 30/10/2025</x:v>
      </x:c>
      <x:c r="S154" s="29" t="str">
        <x:v>30/10/2025</x:v>
      </x:c>
      <x:c r="T154" s="29" t="n">
        <x:v>6</x:v>
      </x:c>
      <x:c r="U154" s="29" t="str">
        <x:v>Vérifié sur arrêté</x:v>
      </x:c>
      <x:c r="V154" s="29" t="n">
        <x:f>IF(COUNTA(K154:M154)=0,"",SUM(K154:M154))</x:f>
        <x:v>20</x:v>
      </x:c>
      <x:c r="W154" s="29" t="n">
        <x:f>IF(V154="","",V154-J154)</x:f>
        <x:v>0</x:v>
      </x:c>
      <x:c r="X154" s="28" t="str">
        <x:v>Rattachement exact par semestre/spécialité non indiqué dans l’annexe fournie.</x:v>
      </x:c>
    </x:row>
    <x:row r="155">
      <x:c r="A155" s="28" t="str">
        <x:v>REG-154</x:v>
      </x:c>
      <x:c r="B155" s="28" t="str">
        <x:v>Cycle 2</x:v>
      </x:c>
      <x:c r="C155" s="28" t="str">
        <x:v>Formation complémentaire</x:v>
      </x:c>
      <x:c r="D155" s="28" t="str">
        <x:v>À préciser</x:v>
      </x:c>
      <x:c r="E155" s="28" t="str">
        <x:v>Formation complémentaire Master – portée réglementaire : Sciences forestières, Géomatique appliquée à la foresterie, Gestion des forêts, Santé des forêts</x:v>
      </x:c>
      <x:c r="F155" s="28" t="str">
        <x:v>Bloc complémentaire 3</x:v>
      </x:c>
      <x:c r="G155" s="28" t="str">
        <x:v>Formation complémentaire</x:v>
      </x:c>
      <x:c r="H155" s="28" t="str"/>
      <x:c r="I155" s="28" t="str">
        <x:v>Intelligence artificielle appliquée aux sciences et technologies</x:v>
      </x:c>
      <x:c r="J155" s="29" t="n">
        <x:v>35</x:v>
      </x:c>
      <x:c r="K155" s="29" t="n">
        <x:v>20</x:v>
      </x:c>
      <x:c r="L155" s="29" t="n">
        <x:v>0</x:v>
      </x:c>
      <x:c r="M155" s="29" t="n">
        <x:v>15</x:v>
      </x:c>
      <x:c r="N155" s="29" t="n">
        <x:v>0</x:v>
      </x:c>
      <x:c r="O155" s="29" t="n">
        <x:v>3</x:v>
      </x:c>
      <x:c r="P155" s="29"/>
      <x:c r="Q155" s="29" t="str">
        <x:v>Formation complémentaire</x:v>
      </x:c>
      <x:c r="R155" s="29" t="str">
        <x:v>Arrêté n°1454 du 30/10/2025</x:v>
      </x:c>
      <x:c r="S155" s="29" t="str">
        <x:v>30/10/2025</x:v>
      </x:c>
      <x:c r="T155" s="29" t="n">
        <x:v>6</x:v>
      </x:c>
      <x:c r="U155" s="29" t="str">
        <x:v>Vérifié sur arrêté</x:v>
      </x:c>
      <x:c r="V155" s="29" t="n">
        <x:f>IF(COUNTA(K155:M155)=0,"",SUM(K155:M155))</x:f>
        <x:v>35</x:v>
      </x:c>
      <x:c r="W155" s="29" t="n">
        <x:f>IF(V155="","",V155-J155)</x:f>
        <x:v>0</x:v>
      </x:c>
      <x:c r="X155" s="28" t="str">
        <x:v>Rattachement exact par semestre/spécialité non indiqué dans l’annexe fournie.</x:v>
      </x:c>
    </x:row>
    <x:row r="156">
      <x:c r="A156" s="28" t="str">
        <x:v>REG-155</x:v>
      </x:c>
      <x:c r="B156" s="28" t="str">
        <x:v>Cycle 2</x:v>
      </x:c>
      <x:c r="C156" s="28" t="str">
        <x:v>Formation complémentaire</x:v>
      </x:c>
      <x:c r="D156" s="28" t="str">
        <x:v>À préciser</x:v>
      </x:c>
      <x:c r="E156" s="28" t="str">
        <x:v>Formation complémentaire Master – portée réglementaire : Sciences forestières, Géomatique appliquée à la foresterie, Gestion des forêts, Santé des forêts</x:v>
      </x:c>
      <x:c r="F156" s="28" t="str">
        <x:v>Bloc complémentaire 3</x:v>
      </x:c>
      <x:c r="G156" s="28" t="str">
        <x:v>Formation complémentaire</x:v>
      </x:c>
      <x:c r="H156" s="28" t="str"/>
      <x:c r="I156" s="28" t="str">
        <x:v>Valorisation des essences forestières sahariennes et steppiques</x:v>
      </x:c>
      <x:c r="J156" s="29" t="n">
        <x:v>20</x:v>
      </x:c>
      <x:c r="K156" s="29" t="n">
        <x:v>20</x:v>
      </x:c>
      <x:c r="L156" s="29" t="n">
        <x:v>0</x:v>
      </x:c>
      <x:c r="M156" s="29" t="n">
        <x:v>0</x:v>
      </x:c>
      <x:c r="N156" s="29" t="n">
        <x:v>0</x:v>
      </x:c>
      <x:c r="O156" s="29" t="n">
        <x:v>2</x:v>
      </x:c>
      <x:c r="P156" s="29"/>
      <x:c r="Q156" s="29" t="str">
        <x:v>Formation complémentaire</x:v>
      </x:c>
      <x:c r="R156" s="29" t="str">
        <x:v>Arrêté n°1454 du 30/10/2025</x:v>
      </x:c>
      <x:c r="S156" s="29" t="str">
        <x:v>30/10/2025</x:v>
      </x:c>
      <x:c r="T156" s="29" t="n">
        <x:v>6</x:v>
      </x:c>
      <x:c r="U156" s="29" t="str">
        <x:v>Vérifié sur arrêté</x:v>
      </x:c>
      <x:c r="V156" s="29" t="n">
        <x:f>IF(COUNTA(K156:M156)=0,"",SUM(K156:M156))</x:f>
        <x:v>20</x:v>
      </x:c>
      <x:c r="W156" s="29" t="n">
        <x:f>IF(V156="","",V156-J156)</x:f>
        <x:v>0</x:v>
      </x:c>
      <x:c r="X156" s="28" t="str">
        <x:v>Rattachement exact par semestre/spécialité non indiqué dans l’annexe fournie.</x:v>
      </x:c>
    </x:row>
    <x:row r="157">
      <x:c r="A157" s="28" t="str">
        <x:v>REG-156</x:v>
      </x:c>
      <x:c r="B157" s="28" t="str">
        <x:v>Cycle 2</x:v>
      </x:c>
      <x:c r="C157" s="28" t="str">
        <x:v>Formation complémentaire</x:v>
      </x:c>
      <x:c r="D157" s="28" t="str">
        <x:v>À préciser</x:v>
      </x:c>
      <x:c r="E157" s="28" t="str">
        <x:v>Formation complémentaire Master – portée réglementaire : Sciences forestières, Géomatique appliquée à la foresterie, Gestion des forêts, Santé des forêts</x:v>
      </x:c>
      <x:c r="F157" s="28" t="str">
        <x:v>Mémoire</x:v>
      </x:c>
      <x:c r="G157" s="28" t="str">
        <x:v>Mémoire de master</x:v>
      </x:c>
      <x:c r="H157" s="28" t="str"/>
      <x:c r="I157" s="28" t="str">
        <x:v>Mémoire de master</x:v>
      </x:c>
      <x:c r="J157" s="29" t="n">
        <x:v>35</x:v>
      </x:c>
      <x:c r="K157" s="29"/>
      <x:c r="L157" s="29"/>
      <x:c r="M157" s="29"/>
      <x:c r="N157" s="29" t="n">
        <x:v>80</x:v>
      </x:c>
      <x:c r="O157" s="29" t="n">
        <x:v>5</x:v>
      </x:c>
      <x:c r="P157" s="29"/>
      <x:c r="Q157" s="29" t="str">
        <x:v>Travail individuel</x:v>
      </x:c>
      <x:c r="R157" s="29" t="str">
        <x:v>Arrêté n°1454 du 30/10/2025</x:v>
      </x:c>
      <x:c r="S157" s="29" t="str">
        <x:v>30/10/2025</x:v>
      </x:c>
      <x:c r="T157" s="29" t="n">
        <x:v>6</x:v>
      </x:c>
      <x:c r="U157" s="29" t="str">
        <x:v>Vérifié sur arrêté</x:v>
      </x:c>
      <x:c r="V157" s="29" t="str">
        <x:f>IF(COUNTA(K157:M157)=0,"",SUM(K157:M157))</x:f>
      </x:c>
      <x:c r="W157" s="29" t="str">
        <x:f>IF(V157="","",V157-J157)</x:f>
      </x:c>
      <x:c r="X157" s="28" t="str">
        <x:v>L’annexe affiche 80 h de travail individuel et 35 h dans la colonne Total ; à clarifier.</x:v>
      </x:c>
    </x:row>
  </x:sheetData>
  <x:conditionalFormatting sqref="W2:W157">
    <x:cfRule type="expression" dxfId="0" priority="1">
      <x:formula>AND(W2&lt;&gt;"",ABS(W2)&gt;0.001)</x:formula>
    </x:cfRule>
  </x:conditionalFormatting>
  <x:conditionalFormatting sqref="Q2:Q157">
    <x:cfRule type="expression" dxfId="1" priority="2">
      <x:formula>Q2="Activité PFE"</x:formula>
    </x:cfRule>
  </x:conditionalFormatting>
  <x:conditionalFormatting sqref="C2:C157">
    <x:cfRule type="expression" dxfId="2" priority="3">
      <x:formula>C2="Formation complémentaire"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bcde1db82246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2" hidden="0" customWidth="1"/>
  </x:cols>
  <x:sheetData>
    <x:row r="1" ht="34" customHeight="1">
      <x:c r="A1" s="19" t="str">
        <x:v>Cycle</x:v>
      </x:c>
      <x:c r="B1" s="19" t="str">
        <x:v>Spécialité / bloc</x:v>
      </x:c>
      <x:c r="C1" s="19" t="str">
        <x:v>Semestre</x:v>
      </x:c>
      <x:c r="D1" s="19" t="str">
        <x:v>VHS source</x:v>
      </x:c>
      <x:c r="E1" s="19" t="str">
        <x:v>Cours source</x:v>
      </x:c>
      <x:c r="F1" s="19" t="str">
        <x:v>TD source</x:v>
      </x:c>
      <x:c r="G1" s="19" t="str">
        <x:v>TP source</x:v>
      </x:c>
      <x:c r="H1" s="19" t="str">
        <x:v>Cours extrait</x:v>
      </x:c>
      <x:c r="I1" s="19" t="str">
        <x:v>TD extrait</x:v>
      </x:c>
      <x:c r="J1" s="19" t="str">
        <x:v>TP extrait</x:v>
      </x:c>
      <x:c r="K1" s="19" t="str">
        <x:v>VHS extrait</x:v>
      </x:c>
      <x:c r="L1" s="19" t="str">
        <x:v>Écart C</x:v>
      </x:c>
      <x:c r="M1" s="19" t="str">
        <x:v>Écart TD</x:v>
      </x:c>
      <x:c r="N1" s="19" t="str">
        <x:v>Écart TP</x:v>
      </x:c>
      <x:c r="O1" s="19" t="str">
        <x:v>Écart VHS</x:v>
      </x:c>
      <x:c r="P1" s="19" t="str">
        <x:v>Référence</x:v>
      </x:c>
    </x:row>
    <x:row r="2">
      <x:c r="A2" s="16" t="str">
        <x:v>Cycle 1</x:v>
      </x:c>
      <x:c r="B2" s="16" t="str">
        <x:v>Formation de base</x:v>
      </x:c>
      <x:c r="C2" s="16" t="str">
        <x:v>S1</x:v>
      </x:c>
      <x:c r="D2" s="26" t="n">
        <x:v>375</x:v>
      </x:c>
      <x:c r="E2" s="26" t="n">
        <x:v>261</x:v>
      </x:c>
      <x:c r="F2" s="26" t="n">
        <x:v>34.5</x:v>
      </x:c>
      <x:c r="G2" s="26" t="n">
        <x:v>79.5</x:v>
      </x:c>
      <x:c r="H2" s="26" t="n">
        <x:f>SUMIFS('03_BASE_REGLEMENTAIRE'!$K$2:$K$157,'03_BASE_REGLEMENTAIRE'!$B$2:$B$157,A2,'03_BASE_REGLEMENTAIRE'!$E$2:$E$157,B2,'03_BASE_REGLEMENTAIRE'!$F$2:$F$157,C2)</x:f>
        <x:v>261</x:v>
      </x:c>
      <x:c r="I2" s="26" t="n">
        <x:f>SUMIFS('03_BASE_REGLEMENTAIRE'!$L$2:$L$157,'03_BASE_REGLEMENTAIRE'!$B$2:$B$157,A2,'03_BASE_REGLEMENTAIRE'!$E$2:$E$157,B2,'03_BASE_REGLEMENTAIRE'!$F$2:$F$157,C2)</x:f>
        <x:v>34.5</x:v>
      </x:c>
      <x:c r="J2" s="26" t="n">
        <x:f>SUMIFS('03_BASE_REGLEMENTAIRE'!$M$2:$M$157,'03_BASE_REGLEMENTAIRE'!$B$2:$B$157,A2,'03_BASE_REGLEMENTAIRE'!$E$2:$E$157,B2,'03_BASE_REGLEMENTAIRE'!$F$2:$F$157,C2)</x:f>
        <x:v>79.5</x:v>
      </x:c>
      <x:c r="K2" s="26" t="n">
        <x:f>SUMIFS('03_BASE_REGLEMENTAIRE'!$J$2:$J$157,'03_BASE_REGLEMENTAIRE'!$B$2:$B$157,A2,'03_BASE_REGLEMENTAIRE'!$E$2:$E$157,B2,'03_BASE_REGLEMENTAIRE'!$F$2:$F$157,C2)</x:f>
        <x:v>375</x:v>
      </x:c>
      <x:c r="L2" s="26" t="n">
        <x:f>H2-E2</x:f>
        <x:v>0</x:v>
      </x:c>
      <x:c r="M2" s="26" t="n">
        <x:f>I2-F2</x:f>
        <x:v>0</x:v>
      </x:c>
      <x:c r="N2" s="26" t="n">
        <x:f>J2-G2</x:f>
        <x:v>0</x:v>
      </x:c>
      <x:c r="O2" s="26" t="n">
        <x:f>K2-D2</x:f>
        <x:v>0</x:v>
      </x:c>
      <x:c r="P2" s="16" t="str">
        <x:v>Arrêté 1455 p.2</x:v>
      </x:c>
    </x:row>
    <x:row r="3">
      <x:c r="A3" s="16" t="str">
        <x:v>Cycle 1</x:v>
      </x:c>
      <x:c r="B3" s="16" t="str">
        <x:v>Formation de base</x:v>
      </x:c>
      <x:c r="C3" s="16" t="str">
        <x:v>S2</x:v>
      </x:c>
      <x:c r="D3" s="26" t="n">
        <x:v>375</x:v>
      </x:c>
      <x:c r="E3" s="26" t="n">
        <x:v>243</x:v>
      </x:c>
      <x:c r="F3" s="26" t="n">
        <x:v>49.5</x:v>
      </x:c>
      <x:c r="G3" s="26" t="n">
        <x:v>82.5</x:v>
      </x:c>
      <x:c r="H3" s="26" t="n">
        <x:f>SUMIFS('03_BASE_REGLEMENTAIRE'!$K$2:$K$157,'03_BASE_REGLEMENTAIRE'!$B$2:$B$157,A3,'03_BASE_REGLEMENTAIRE'!$E$2:$E$157,B3,'03_BASE_REGLEMENTAIRE'!$F$2:$F$157,C3)</x:f>
        <x:v>243</x:v>
      </x:c>
      <x:c r="I3" s="26" t="n">
        <x:f>SUMIFS('03_BASE_REGLEMENTAIRE'!$L$2:$L$157,'03_BASE_REGLEMENTAIRE'!$B$2:$B$157,A3,'03_BASE_REGLEMENTAIRE'!$E$2:$E$157,B3,'03_BASE_REGLEMENTAIRE'!$F$2:$F$157,C3)</x:f>
        <x:v>49.5</x:v>
      </x:c>
      <x:c r="J3" s="26" t="n">
        <x:f>SUMIFS('03_BASE_REGLEMENTAIRE'!$M$2:$M$157,'03_BASE_REGLEMENTAIRE'!$B$2:$B$157,A3,'03_BASE_REGLEMENTAIRE'!$E$2:$E$157,B3,'03_BASE_REGLEMENTAIRE'!$F$2:$F$157,C3)</x:f>
        <x:v>82.5</x:v>
      </x:c>
      <x:c r="K3" s="26" t="n">
        <x:f>SUMIFS('03_BASE_REGLEMENTAIRE'!$J$2:$J$157,'03_BASE_REGLEMENTAIRE'!$B$2:$B$157,A3,'03_BASE_REGLEMENTAIRE'!$E$2:$E$157,B3,'03_BASE_REGLEMENTAIRE'!$F$2:$F$157,C3)</x:f>
        <x:v>375</x:v>
      </x:c>
      <x:c r="L3" s="26" t="n">
        <x:f>H3-E3</x:f>
        <x:v>0</x:v>
      </x:c>
      <x:c r="M3" s="26" t="n">
        <x:f>I3-F3</x:f>
        <x:v>0</x:v>
      </x:c>
      <x:c r="N3" s="26" t="n">
        <x:f>J3-G3</x:f>
        <x:v>0</x:v>
      </x:c>
      <x:c r="O3" s="26" t="n">
        <x:f>K3-D3</x:f>
        <x:v>0</x:v>
      </x:c>
      <x:c r="P3" s="16" t="str">
        <x:v>Arrêté 1455 p.3</x:v>
      </x:c>
    </x:row>
    <x:row r="4">
      <x:c r="A4" s="16" t="str">
        <x:v>Cycle 1</x:v>
      </x:c>
      <x:c r="B4" s="16" t="str">
        <x:v>Formation de base</x:v>
      </x:c>
      <x:c r="C4" s="16" t="str">
        <x:v>S3</x:v>
      </x:c>
      <x:c r="D4" s="26" t="n">
        <x:v>375</x:v>
      </x:c>
      <x:c r="E4" s="26" t="n">
        <x:v>240</x:v>
      </x:c>
      <x:c r="F4" s="26" t="n">
        <x:v>57</x:v>
      </x:c>
      <x:c r="G4" s="26" t="n">
        <x:v>78</x:v>
      </x:c>
      <x:c r="H4" s="26" t="n">
        <x:f>SUMIFS('03_BASE_REGLEMENTAIRE'!$K$2:$K$157,'03_BASE_REGLEMENTAIRE'!$B$2:$B$157,A4,'03_BASE_REGLEMENTAIRE'!$E$2:$E$157,B4,'03_BASE_REGLEMENTAIRE'!$F$2:$F$157,C4)</x:f>
        <x:v>240</x:v>
      </x:c>
      <x:c r="I4" s="26" t="n">
        <x:f>SUMIFS('03_BASE_REGLEMENTAIRE'!$L$2:$L$157,'03_BASE_REGLEMENTAIRE'!$B$2:$B$157,A4,'03_BASE_REGLEMENTAIRE'!$E$2:$E$157,B4,'03_BASE_REGLEMENTAIRE'!$F$2:$F$157,C4)</x:f>
        <x:v>57</x:v>
      </x:c>
      <x:c r="J4" s="26" t="n">
        <x:f>SUMIFS('03_BASE_REGLEMENTAIRE'!$M$2:$M$157,'03_BASE_REGLEMENTAIRE'!$B$2:$B$157,A4,'03_BASE_REGLEMENTAIRE'!$E$2:$E$157,B4,'03_BASE_REGLEMENTAIRE'!$F$2:$F$157,C4)</x:f>
        <x:v>78</x:v>
      </x:c>
      <x:c r="K4" s="26" t="n">
        <x:f>SUMIFS('03_BASE_REGLEMENTAIRE'!$J$2:$J$157,'03_BASE_REGLEMENTAIRE'!$B$2:$B$157,A4,'03_BASE_REGLEMENTAIRE'!$E$2:$E$157,B4,'03_BASE_REGLEMENTAIRE'!$F$2:$F$157,C4)</x:f>
        <x:v>375</x:v>
      </x:c>
      <x:c r="L4" s="26" t="n">
        <x:f>H4-E4</x:f>
        <x:v>0</x:v>
      </x:c>
      <x:c r="M4" s="26" t="n">
        <x:f>I4-F4</x:f>
        <x:v>0</x:v>
      </x:c>
      <x:c r="N4" s="26" t="n">
        <x:f>J4-G4</x:f>
        <x:v>0</x:v>
      </x:c>
      <x:c r="O4" s="26" t="n">
        <x:f>K4-D4</x:f>
        <x:v>0</x:v>
      </x:c>
      <x:c r="P4" s="16" t="str">
        <x:v>Arrêté 1455 p.4</x:v>
      </x:c>
    </x:row>
    <x:row r="5">
      <x:c r="A5" s="16" t="str">
        <x:v>Cycle 1</x:v>
      </x:c>
      <x:c r="B5" s="16" t="str">
        <x:v>Formation de base</x:v>
      </x:c>
      <x:c r="C5" s="16" t="str">
        <x:v>S4</x:v>
      </x:c>
      <x:c r="D5" s="26" t="n">
        <x:v>375</x:v>
      </x:c>
      <x:c r="E5" s="26" t="n">
        <x:v>264</x:v>
      </x:c>
      <x:c r="F5" s="26" t="n">
        <x:v>57</x:v>
      </x:c>
      <x:c r="G5" s="26" t="n">
        <x:v>54</x:v>
      </x:c>
      <x:c r="H5" s="26" t="n">
        <x:f>SUMIFS('03_BASE_REGLEMENTAIRE'!$K$2:$K$157,'03_BASE_REGLEMENTAIRE'!$B$2:$B$157,A5,'03_BASE_REGLEMENTAIRE'!$E$2:$E$157,B5,'03_BASE_REGLEMENTAIRE'!$F$2:$F$157,C5)</x:f>
        <x:v>264</x:v>
      </x:c>
      <x:c r="I5" s="26" t="n">
        <x:f>SUMIFS('03_BASE_REGLEMENTAIRE'!$L$2:$L$157,'03_BASE_REGLEMENTAIRE'!$B$2:$B$157,A5,'03_BASE_REGLEMENTAIRE'!$E$2:$E$157,B5,'03_BASE_REGLEMENTAIRE'!$F$2:$F$157,C5)</x:f>
        <x:v>57</x:v>
      </x:c>
      <x:c r="J5" s="26" t="n">
        <x:f>SUMIFS('03_BASE_REGLEMENTAIRE'!$M$2:$M$157,'03_BASE_REGLEMENTAIRE'!$B$2:$B$157,A5,'03_BASE_REGLEMENTAIRE'!$E$2:$E$157,B5,'03_BASE_REGLEMENTAIRE'!$F$2:$F$157,C5)</x:f>
        <x:v>54</x:v>
      </x:c>
      <x:c r="K5" s="26" t="n">
        <x:f>SUMIFS('03_BASE_REGLEMENTAIRE'!$J$2:$J$157,'03_BASE_REGLEMENTAIRE'!$B$2:$B$157,A5,'03_BASE_REGLEMENTAIRE'!$E$2:$E$157,B5,'03_BASE_REGLEMENTAIRE'!$F$2:$F$157,C5)</x:f>
        <x:v>375</x:v>
      </x:c>
      <x:c r="L5" s="26" t="n">
        <x:f>H5-E5</x:f>
        <x:v>0</x:v>
      </x:c>
      <x:c r="M5" s="26" t="n">
        <x:f>I5-F5</x:f>
        <x:v>0</x:v>
      </x:c>
      <x:c r="N5" s="26" t="n">
        <x:f>J5-G5</x:f>
        <x:v>0</x:v>
      </x:c>
      <x:c r="O5" s="26" t="n">
        <x:f>K5-D5</x:f>
        <x:v>0</x:v>
      </x:c>
      <x:c r="P5" s="16" t="str">
        <x:v>Arrêté 1455 p.5</x:v>
      </x:c>
    </x:row>
    <x:row r="6">
      <x:c r="A6" s="16" t="str">
        <x:v>Cycle 2</x:v>
      </x:c>
      <x:c r="B6" s="16" t="str">
        <x:v>Sciences forestières (tronc commun)</x:v>
      </x:c>
      <x:c r="C6" s="16" t="str">
        <x:v>S1</x:v>
      </x:c>
      <x:c r="D6" s="26" t="n">
        <x:v>375</x:v>
      </x:c>
      <x:c r="E6" s="26" t="n">
        <x:v>231</x:v>
      </x:c>
      <x:c r="F6" s="26" t="n">
        <x:v>59</x:v>
      </x:c>
      <x:c r="G6" s="26" t="n">
        <x:v>85</x:v>
      </x:c>
      <x:c r="H6" s="26" t="n">
        <x:f>SUMIFS('03_BASE_REGLEMENTAIRE'!$K$2:$K$157,'03_BASE_REGLEMENTAIRE'!$B$2:$B$157,A6,'03_BASE_REGLEMENTAIRE'!$E$2:$E$157,B6,'03_BASE_REGLEMENTAIRE'!$F$2:$F$157,C6)</x:f>
        <x:v>231</x:v>
      </x:c>
      <x:c r="I6" s="26" t="n">
        <x:f>SUMIFS('03_BASE_REGLEMENTAIRE'!$L$2:$L$157,'03_BASE_REGLEMENTAIRE'!$B$2:$B$157,A6,'03_BASE_REGLEMENTAIRE'!$E$2:$E$157,B6,'03_BASE_REGLEMENTAIRE'!$F$2:$F$157,C6)</x:f>
        <x:v>59</x:v>
      </x:c>
      <x:c r="J6" s="26" t="n">
        <x:f>SUMIFS('03_BASE_REGLEMENTAIRE'!$M$2:$M$157,'03_BASE_REGLEMENTAIRE'!$B$2:$B$157,A6,'03_BASE_REGLEMENTAIRE'!$E$2:$E$157,B6,'03_BASE_REGLEMENTAIRE'!$F$2:$F$157,C6)</x:f>
        <x:v>85</x:v>
      </x:c>
      <x:c r="K6" s="26" t="n">
        <x:f>SUMIFS('03_BASE_REGLEMENTAIRE'!$J$2:$J$157,'03_BASE_REGLEMENTAIRE'!$B$2:$B$157,A6,'03_BASE_REGLEMENTAIRE'!$E$2:$E$157,B6,'03_BASE_REGLEMENTAIRE'!$F$2:$F$157,C6)</x:f>
        <x:v>375</x:v>
      </x:c>
      <x:c r="L6" s="26" t="n">
        <x:f>H6-E6</x:f>
        <x:v>0</x:v>
      </x:c>
      <x:c r="M6" s="26" t="n">
        <x:f>I6-F6</x:f>
        <x:v>0</x:v>
      </x:c>
      <x:c r="N6" s="26" t="n">
        <x:f>J6-G6</x:f>
        <x:v>0</x:v>
      </x:c>
      <x:c r="O6" s="26" t="n">
        <x:f>K6-D6</x:f>
        <x:v>0</x:v>
      </x:c>
      <x:c r="P6" s="16" t="str">
        <x:v>Arrêté 1457 p.5</x:v>
      </x:c>
    </x:row>
    <x:row r="7">
      <x:c r="A7" s="16" t="str">
        <x:v>Cycle 2</x:v>
      </x:c>
      <x:c r="B7" s="16" t="str">
        <x:v>Sciences forestières (tronc commun)</x:v>
      </x:c>
      <x:c r="C7" s="16" t="str">
        <x:v>S2</x:v>
      </x:c>
      <x:c r="D7" s="26" t="n">
        <x:v>375</x:v>
      </x:c>
      <x:c r="E7" s="26" t="n">
        <x:v>225</x:v>
      </x:c>
      <x:c r="F7" s="26" t="n">
        <x:v>30</x:v>
      </x:c>
      <x:c r="G7" s="26" t="n">
        <x:v>120</x:v>
      </x:c>
      <x:c r="H7" s="26" t="n">
        <x:f>SUMIFS('03_BASE_REGLEMENTAIRE'!$K$2:$K$157,'03_BASE_REGLEMENTAIRE'!$B$2:$B$157,A7,'03_BASE_REGLEMENTAIRE'!$E$2:$E$157,B7,'03_BASE_REGLEMENTAIRE'!$F$2:$F$157,C7)</x:f>
        <x:v>225</x:v>
      </x:c>
      <x:c r="I7" s="26" t="n">
        <x:f>SUMIFS('03_BASE_REGLEMENTAIRE'!$L$2:$L$157,'03_BASE_REGLEMENTAIRE'!$B$2:$B$157,A7,'03_BASE_REGLEMENTAIRE'!$E$2:$E$157,B7,'03_BASE_REGLEMENTAIRE'!$F$2:$F$157,C7)</x:f>
        <x:v>30</x:v>
      </x:c>
      <x:c r="J7" s="26" t="n">
        <x:f>SUMIFS('03_BASE_REGLEMENTAIRE'!$M$2:$M$157,'03_BASE_REGLEMENTAIRE'!$B$2:$B$157,A7,'03_BASE_REGLEMENTAIRE'!$E$2:$E$157,B7,'03_BASE_REGLEMENTAIRE'!$F$2:$F$157,C7)</x:f>
        <x:v>120</x:v>
      </x:c>
      <x:c r="K7" s="26" t="n">
        <x:f>SUMIFS('03_BASE_REGLEMENTAIRE'!$J$2:$J$157,'03_BASE_REGLEMENTAIRE'!$B$2:$B$157,A7,'03_BASE_REGLEMENTAIRE'!$E$2:$E$157,B7,'03_BASE_REGLEMENTAIRE'!$F$2:$F$157,C7)</x:f>
        <x:v>375</x:v>
      </x:c>
      <x:c r="L7" s="26" t="n">
        <x:f>H7-E7</x:f>
        <x:v>0</x:v>
      </x:c>
      <x:c r="M7" s="26" t="n">
        <x:f>I7-F7</x:f>
        <x:v>0</x:v>
      </x:c>
      <x:c r="N7" s="26" t="n">
        <x:f>J7-G7</x:f>
        <x:v>0</x:v>
      </x:c>
      <x:c r="O7" s="26" t="n">
        <x:f>K7-D7</x:f>
        <x:v>0</x:v>
      </x:c>
      <x:c r="P7" s="16" t="str">
        <x:v>Arrêté 1457 p.6</x:v>
      </x:c>
    </x:row>
    <x:row r="8">
      <x:c r="A8" s="16" t="str">
        <x:v>Cycle 2</x:v>
      </x:c>
      <x:c r="B8" s="16" t="str">
        <x:v>Gestion des forêts</x:v>
      </x:c>
      <x:c r="C8" s="16" t="str">
        <x:v>S3</x:v>
      </x:c>
      <x:c r="D8" s="26" t="n">
        <x:v>375</x:v>
      </x:c>
      <x:c r="E8" s="26" t="n">
        <x:v>225</x:v>
      </x:c>
      <x:c r="F8" s="26" t="n">
        <x:v>15</x:v>
      </x:c>
      <x:c r="G8" s="26" t="n">
        <x:v>120</x:v>
      </x:c>
      <x:c r="H8" s="26" t="n">
        <x:f>SUMIFS('03_BASE_REGLEMENTAIRE'!$K$2:$K$157,'03_BASE_REGLEMENTAIRE'!$B$2:$B$157,A8,'03_BASE_REGLEMENTAIRE'!$E$2:$E$157,B8,'03_BASE_REGLEMENTAIRE'!$F$2:$F$157,C8)</x:f>
        <x:v>225</x:v>
      </x:c>
      <x:c r="I8" s="26" t="n">
        <x:f>SUMIFS('03_BASE_REGLEMENTAIRE'!$L$2:$L$157,'03_BASE_REGLEMENTAIRE'!$B$2:$B$157,A8,'03_BASE_REGLEMENTAIRE'!$E$2:$E$157,B8,'03_BASE_REGLEMENTAIRE'!$F$2:$F$157,C8)</x:f>
        <x:v>15</x:v>
      </x:c>
      <x:c r="J8" s="26" t="n">
        <x:f>SUMIFS('03_BASE_REGLEMENTAIRE'!$M$2:$M$157,'03_BASE_REGLEMENTAIRE'!$B$2:$B$157,A8,'03_BASE_REGLEMENTAIRE'!$E$2:$E$157,B8,'03_BASE_REGLEMENTAIRE'!$F$2:$F$157,C8)</x:f>
        <x:v>135</x:v>
      </x:c>
      <x:c r="K8" s="26" t="n">
        <x:f>SUMIFS('03_BASE_REGLEMENTAIRE'!$J$2:$J$157,'03_BASE_REGLEMENTAIRE'!$B$2:$B$157,A8,'03_BASE_REGLEMENTAIRE'!$E$2:$E$157,B8,'03_BASE_REGLEMENTAIRE'!$F$2:$F$157,C8)</x:f>
        <x:v>375</x:v>
      </x:c>
      <x:c r="L8" s="26" t="n">
        <x:f>H8-E8</x:f>
        <x:v>0</x:v>
      </x:c>
      <x:c r="M8" s="26" t="n">
        <x:f>I8-F8</x:f>
        <x:v>0</x:v>
      </x:c>
      <x:c r="N8" s="26" t="n">
        <x:f>J8-G8</x:f>
        <x:v>15</x:v>
      </x:c>
      <x:c r="O8" s="26" t="n">
        <x:f>K8-D8</x:f>
        <x:v>0</x:v>
      </x:c>
      <x:c r="P8" s="16" t="str">
        <x:v>Arrêté 1459 p.7</x:v>
      </x:c>
    </x:row>
    <x:row r="9">
      <x:c r="A9" s="16" t="str">
        <x:v>Cycle 2</x:v>
      </x:c>
      <x:c r="B9" s="16" t="str">
        <x:v>Gestion des forêts</x:v>
      </x:c>
      <x:c r="C9" s="16" t="str">
        <x:v>S4</x:v>
      </x:c>
      <x:c r="D9" s="26" t="n">
        <x:v>375</x:v>
      </x:c>
      <x:c r="E9" s="26" t="n">
        <x:v>234</x:v>
      </x:c>
      <x:c r="F9" s="26" t="n">
        <x:v>15</x:v>
      </x:c>
      <x:c r="G9" s="26" t="n">
        <x:v>126</x:v>
      </x:c>
      <x:c r="H9" s="26" t="n">
        <x:f>SUMIFS('03_BASE_REGLEMENTAIRE'!$K$2:$K$157,'03_BASE_REGLEMENTAIRE'!$B$2:$B$157,A9,'03_BASE_REGLEMENTAIRE'!$E$2:$E$157,B9,'03_BASE_REGLEMENTAIRE'!$F$2:$F$157,C9)</x:f>
        <x:v>234</x:v>
      </x:c>
      <x:c r="I9" s="26" t="n">
        <x:f>SUMIFS('03_BASE_REGLEMENTAIRE'!$L$2:$L$157,'03_BASE_REGLEMENTAIRE'!$B$2:$B$157,A9,'03_BASE_REGLEMENTAIRE'!$E$2:$E$157,B9,'03_BASE_REGLEMENTAIRE'!$F$2:$F$157,C9)</x:f>
        <x:v>15</x:v>
      </x:c>
      <x:c r="J9" s="26" t="n">
        <x:f>SUMIFS('03_BASE_REGLEMENTAIRE'!$M$2:$M$157,'03_BASE_REGLEMENTAIRE'!$B$2:$B$157,A9,'03_BASE_REGLEMENTAIRE'!$E$2:$E$157,B9,'03_BASE_REGLEMENTAIRE'!$F$2:$F$157,C9)</x:f>
        <x:v>126</x:v>
      </x:c>
      <x:c r="K9" s="26" t="n">
        <x:f>SUMIFS('03_BASE_REGLEMENTAIRE'!$J$2:$J$157,'03_BASE_REGLEMENTAIRE'!$B$2:$B$157,A9,'03_BASE_REGLEMENTAIRE'!$E$2:$E$157,B9,'03_BASE_REGLEMENTAIRE'!$F$2:$F$157,C9)</x:f>
        <x:v>375</x:v>
      </x:c>
      <x:c r="L9" s="26" t="n">
        <x:f>H9-E9</x:f>
        <x:v>0</x:v>
      </x:c>
      <x:c r="M9" s="26" t="n">
        <x:f>I9-F9</x:f>
        <x:v>0</x:v>
      </x:c>
      <x:c r="N9" s="26" t="n">
        <x:f>J9-G9</x:f>
        <x:v>0</x:v>
      </x:c>
      <x:c r="O9" s="26" t="n">
        <x:f>K9-D9</x:f>
        <x:v>0</x:v>
      </x:c>
      <x:c r="P9" s="16" t="str">
        <x:v>Arrêté 1459 p.8</x:v>
      </x:c>
    </x:row>
    <x:row r="10">
      <x:c r="A10" s="16" t="str">
        <x:v>Cycle 2</x:v>
      </x:c>
      <x:c r="B10" s="16" t="str">
        <x:v>Gestion des forêts</x:v>
      </x:c>
      <x:c r="C10" s="16" t="str">
        <x:v>S5</x:v>
      </x:c>
      <x:c r="D10" s="26" t="n">
        <x:v>375</x:v>
      </x:c>
      <x:c r="E10" s="26" t="n">
        <x:v>285</x:v>
      </x:c>
      <x:c r="F10" s="26" t="n">
        <x:v>45</x:v>
      </x:c>
      <x:c r="G10" s="26" t="n">
        <x:v>45</x:v>
      </x:c>
      <x:c r="H10" s="26" t="n">
        <x:f>SUMIFS('03_BASE_REGLEMENTAIRE'!$K$2:$K$157,'03_BASE_REGLEMENTAIRE'!$B$2:$B$157,A10,'03_BASE_REGLEMENTAIRE'!$E$2:$E$157,B10,'03_BASE_REGLEMENTAIRE'!$F$2:$F$157,C10)</x:f>
        <x:v>285</x:v>
      </x:c>
      <x:c r="I10" s="26" t="n">
        <x:f>SUMIFS('03_BASE_REGLEMENTAIRE'!$L$2:$L$157,'03_BASE_REGLEMENTAIRE'!$B$2:$B$157,A10,'03_BASE_REGLEMENTAIRE'!$E$2:$E$157,B10,'03_BASE_REGLEMENTAIRE'!$F$2:$F$157,C10)</x:f>
        <x:v>45</x:v>
      </x:c>
      <x:c r="J10" s="26" t="n">
        <x:f>SUMIFS('03_BASE_REGLEMENTAIRE'!$M$2:$M$157,'03_BASE_REGLEMENTAIRE'!$B$2:$B$157,A10,'03_BASE_REGLEMENTAIRE'!$E$2:$E$157,B10,'03_BASE_REGLEMENTAIRE'!$F$2:$F$157,C10)</x:f>
        <x:v>45</x:v>
      </x:c>
      <x:c r="K10" s="26" t="n">
        <x:f>SUMIFS('03_BASE_REGLEMENTAIRE'!$J$2:$J$157,'03_BASE_REGLEMENTAIRE'!$B$2:$B$157,A10,'03_BASE_REGLEMENTAIRE'!$E$2:$E$157,B10,'03_BASE_REGLEMENTAIRE'!$F$2:$F$157,C10)</x:f>
        <x:v>375</x:v>
      </x:c>
      <x:c r="L10" s="26" t="n">
        <x:f>H10-E10</x:f>
        <x:v>0</x:v>
      </x:c>
      <x:c r="M10" s="26" t="n">
        <x:f>I10-F10</x:f>
        <x:v>0</x:v>
      </x:c>
      <x:c r="N10" s="26" t="n">
        <x:f>J10-G10</x:f>
        <x:v>0</x:v>
      </x:c>
      <x:c r="O10" s="26" t="n">
        <x:f>K10-D10</x:f>
        <x:v>0</x:v>
      </x:c>
      <x:c r="P10" s="16" t="str">
        <x:v>Arrêté 1459 p.9</x:v>
      </x:c>
    </x:row>
    <x:row r="11">
      <x:c r="A11" s="16" t="str">
        <x:v>Cycle 2</x:v>
      </x:c>
      <x:c r="B11" s="16" t="str">
        <x:v>Géomatique appliquée à la foresterie</x:v>
      </x:c>
      <x:c r="C11" s="16" t="str">
        <x:v>S3</x:v>
      </x:c>
      <x:c r="D11" s="26" t="n">
        <x:v>375</x:v>
      </x:c>
      <x:c r="E11" s="26" t="n">
        <x:v>213</x:v>
      </x:c>
      <x:c r="F11" s="26" t="n">
        <x:v>15</x:v>
      </x:c>
      <x:c r="G11" s="26" t="n">
        <x:v>147</x:v>
      </x:c>
      <x:c r="H11" s="26" t="n">
        <x:f>SUMIFS('03_BASE_REGLEMENTAIRE'!$K$2:$K$157,'03_BASE_REGLEMENTAIRE'!$B$2:$B$157,A11,'03_BASE_REGLEMENTAIRE'!$E$2:$E$157,B11,'03_BASE_REGLEMENTAIRE'!$F$2:$F$157,C11)</x:f>
        <x:v>213</x:v>
      </x:c>
      <x:c r="I11" s="26" t="n">
        <x:f>SUMIFS('03_BASE_REGLEMENTAIRE'!$L$2:$L$157,'03_BASE_REGLEMENTAIRE'!$B$2:$B$157,A11,'03_BASE_REGLEMENTAIRE'!$E$2:$E$157,B11,'03_BASE_REGLEMENTAIRE'!$F$2:$F$157,C11)</x:f>
        <x:v>15</x:v>
      </x:c>
      <x:c r="J11" s="26" t="n">
        <x:f>SUMIFS('03_BASE_REGLEMENTAIRE'!$M$2:$M$157,'03_BASE_REGLEMENTAIRE'!$B$2:$B$157,A11,'03_BASE_REGLEMENTAIRE'!$E$2:$E$157,B11,'03_BASE_REGLEMENTAIRE'!$F$2:$F$157,C11)</x:f>
        <x:v>147</x:v>
      </x:c>
      <x:c r="K11" s="26" t="n">
        <x:f>SUMIFS('03_BASE_REGLEMENTAIRE'!$J$2:$J$157,'03_BASE_REGLEMENTAIRE'!$B$2:$B$157,A11,'03_BASE_REGLEMENTAIRE'!$E$2:$E$157,B11,'03_BASE_REGLEMENTAIRE'!$F$2:$F$157,C11)</x:f>
        <x:v>375</x:v>
      </x:c>
      <x:c r="L11" s="26" t="n">
        <x:f>H11-E11</x:f>
        <x:v>0</x:v>
      </x:c>
      <x:c r="M11" s="26" t="n">
        <x:f>I11-F11</x:f>
        <x:v>0</x:v>
      </x:c>
      <x:c r="N11" s="26" t="n">
        <x:f>J11-G11</x:f>
        <x:v>0</x:v>
      </x:c>
      <x:c r="O11" s="26" t="n">
        <x:f>K11-D11</x:f>
        <x:v>0</x:v>
      </x:c>
      <x:c r="P11" s="16" t="str">
        <x:v>Arrêté 1458 p.8</x:v>
      </x:c>
    </x:row>
    <x:row r="12">
      <x:c r="A12" s="16" t="str">
        <x:v>Cycle 2</x:v>
      </x:c>
      <x:c r="B12" s="16" t="str">
        <x:v>Géomatique appliquée à la foresterie</x:v>
      </x:c>
      <x:c r="C12" s="16" t="str">
        <x:v>S4</x:v>
      </x:c>
      <x:c r="D12" s="26" t="n">
        <x:v>375</x:v>
      </x:c>
      <x:c r="E12" s="26" t="n">
        <x:v>192</x:v>
      </x:c>
      <x:c r="F12" s="26" t="n">
        <x:v>12</x:v>
      </x:c>
      <x:c r="G12" s="26" t="n">
        <x:v>171</x:v>
      </x:c>
      <x:c r="H12" s="26" t="n">
        <x:f>SUMIFS('03_BASE_REGLEMENTAIRE'!$K$2:$K$157,'03_BASE_REGLEMENTAIRE'!$B$2:$B$157,A12,'03_BASE_REGLEMENTAIRE'!$E$2:$E$157,B12,'03_BASE_REGLEMENTAIRE'!$F$2:$F$157,C12)</x:f>
        <x:v>192</x:v>
      </x:c>
      <x:c r="I12" s="26" t="n">
        <x:f>SUMIFS('03_BASE_REGLEMENTAIRE'!$L$2:$L$157,'03_BASE_REGLEMENTAIRE'!$B$2:$B$157,A12,'03_BASE_REGLEMENTAIRE'!$E$2:$E$157,B12,'03_BASE_REGLEMENTAIRE'!$F$2:$F$157,C12)</x:f>
        <x:v>12</x:v>
      </x:c>
      <x:c r="J12" s="26" t="n">
        <x:f>SUMIFS('03_BASE_REGLEMENTAIRE'!$M$2:$M$157,'03_BASE_REGLEMENTAIRE'!$B$2:$B$157,A12,'03_BASE_REGLEMENTAIRE'!$E$2:$E$157,B12,'03_BASE_REGLEMENTAIRE'!$F$2:$F$157,C12)</x:f>
        <x:v>171</x:v>
      </x:c>
      <x:c r="K12" s="26" t="n">
        <x:f>SUMIFS('03_BASE_REGLEMENTAIRE'!$J$2:$J$157,'03_BASE_REGLEMENTAIRE'!$B$2:$B$157,A12,'03_BASE_REGLEMENTAIRE'!$E$2:$E$157,B12,'03_BASE_REGLEMENTAIRE'!$F$2:$F$157,C12)</x:f>
        <x:v>375</x:v>
      </x:c>
      <x:c r="L12" s="26" t="n">
        <x:f>H12-E12</x:f>
        <x:v>0</x:v>
      </x:c>
      <x:c r="M12" s="26" t="n">
        <x:f>I12-F12</x:f>
        <x:v>0</x:v>
      </x:c>
      <x:c r="N12" s="26" t="n">
        <x:f>J12-G12</x:f>
        <x:v>0</x:v>
      </x:c>
      <x:c r="O12" s="26" t="n">
        <x:f>K12-D12</x:f>
        <x:v>0</x:v>
      </x:c>
      <x:c r="P12" s="16" t="str">
        <x:v>Arrêté 1458 p.7</x:v>
      </x:c>
    </x:row>
    <x:row r="13">
      <x:c r="A13" s="16" t="str">
        <x:v>Cycle 2</x:v>
      </x:c>
      <x:c r="B13" s="16" t="str">
        <x:v>Géomatique appliquée à la foresterie</x:v>
      </x:c>
      <x:c r="C13" s="16" t="str">
        <x:v>S5</x:v>
      </x:c>
      <x:c r="D13" s="26" t="n">
        <x:v>375</x:v>
      </x:c>
      <x:c r="E13" s="26" t="n">
        <x:v>249</x:v>
      </x:c>
      <x:c r="F13" s="26" t="n">
        <x:v>30</x:v>
      </x:c>
      <x:c r="G13" s="26" t="n">
        <x:v>96</x:v>
      </x:c>
      <x:c r="H13" s="26" t="n">
        <x:f>SUMIFS('03_BASE_REGLEMENTAIRE'!$K$2:$K$157,'03_BASE_REGLEMENTAIRE'!$B$2:$B$157,A13,'03_BASE_REGLEMENTAIRE'!$E$2:$E$157,B13,'03_BASE_REGLEMENTAIRE'!$F$2:$F$157,C13)</x:f>
        <x:v>249</x:v>
      </x:c>
      <x:c r="I13" s="26" t="n">
        <x:f>SUMIFS('03_BASE_REGLEMENTAIRE'!$L$2:$L$157,'03_BASE_REGLEMENTAIRE'!$B$2:$B$157,A13,'03_BASE_REGLEMENTAIRE'!$E$2:$E$157,B13,'03_BASE_REGLEMENTAIRE'!$F$2:$F$157,C13)</x:f>
        <x:v>30</x:v>
      </x:c>
      <x:c r="J13" s="26" t="n">
        <x:f>SUMIFS('03_BASE_REGLEMENTAIRE'!$M$2:$M$157,'03_BASE_REGLEMENTAIRE'!$B$2:$B$157,A13,'03_BASE_REGLEMENTAIRE'!$E$2:$E$157,B13,'03_BASE_REGLEMENTAIRE'!$F$2:$F$157,C13)</x:f>
        <x:v>96</x:v>
      </x:c>
      <x:c r="K13" s="26" t="n">
        <x:f>SUMIFS('03_BASE_REGLEMENTAIRE'!$J$2:$J$157,'03_BASE_REGLEMENTAIRE'!$B$2:$B$157,A13,'03_BASE_REGLEMENTAIRE'!$E$2:$E$157,B13,'03_BASE_REGLEMENTAIRE'!$F$2:$F$157,C13)</x:f>
        <x:v>375</x:v>
      </x:c>
      <x:c r="L13" s="26" t="n">
        <x:f>H13-E13</x:f>
        <x:v>0</x:v>
      </x:c>
      <x:c r="M13" s="26" t="n">
        <x:f>I13-F13</x:f>
        <x:v>0</x:v>
      </x:c>
      <x:c r="N13" s="26" t="n">
        <x:f>J13-G13</x:f>
        <x:v>0</x:v>
      </x:c>
      <x:c r="O13" s="26" t="n">
        <x:f>K13-D13</x:f>
        <x:v>0</x:v>
      </x:c>
      <x:c r="P13" s="16" t="str">
        <x:v>Arrêté 1458 p.9</x:v>
      </x:c>
    </x:row>
    <x:row r="14">
      <x:c r="A14" s="16" t="str">
        <x:v>Cycle 2</x:v>
      </x:c>
      <x:c r="B14" s="16" t="str">
        <x:v>Santé des forêts</x:v>
      </x:c>
      <x:c r="C14" s="16" t="str">
        <x:v>S3</x:v>
      </x:c>
      <x:c r="D14" s="26" t="n">
        <x:v>375</x:v>
      </x:c>
      <x:c r="E14" s="26" t="n">
        <x:v>209</x:v>
      </x:c>
      <x:c r="F14" s="26" t="n">
        <x:v>15</x:v>
      </x:c>
      <x:c r="G14" s="26" t="n">
        <x:v>151</x:v>
      </x:c>
      <x:c r="H14" s="26" t="n">
        <x:f>SUMIFS('03_BASE_REGLEMENTAIRE'!$K$2:$K$157,'03_BASE_REGLEMENTAIRE'!$B$2:$B$157,A14,'03_BASE_REGLEMENTAIRE'!$E$2:$E$157,B14,'03_BASE_REGLEMENTAIRE'!$F$2:$F$157,C14)</x:f>
        <x:v>209</x:v>
      </x:c>
      <x:c r="I14" s="26" t="n">
        <x:f>SUMIFS('03_BASE_REGLEMENTAIRE'!$L$2:$L$157,'03_BASE_REGLEMENTAIRE'!$B$2:$B$157,A14,'03_BASE_REGLEMENTAIRE'!$E$2:$E$157,B14,'03_BASE_REGLEMENTAIRE'!$F$2:$F$157,C14)</x:f>
        <x:v>15</x:v>
      </x:c>
      <x:c r="J14" s="26" t="n">
        <x:f>SUMIFS('03_BASE_REGLEMENTAIRE'!$M$2:$M$157,'03_BASE_REGLEMENTAIRE'!$B$2:$B$157,A14,'03_BASE_REGLEMENTAIRE'!$E$2:$E$157,B14,'03_BASE_REGLEMENTAIRE'!$F$2:$F$157,C14)</x:f>
        <x:v>151</x:v>
      </x:c>
      <x:c r="K14" s="26" t="n">
        <x:f>SUMIFS('03_BASE_REGLEMENTAIRE'!$J$2:$J$157,'03_BASE_REGLEMENTAIRE'!$B$2:$B$157,A14,'03_BASE_REGLEMENTAIRE'!$E$2:$E$157,B14,'03_BASE_REGLEMENTAIRE'!$F$2:$F$157,C14)</x:f>
        <x:v>375</x:v>
      </x:c>
      <x:c r="L14" s="26" t="n">
        <x:f>H14-E14</x:f>
        <x:v>0</x:v>
      </x:c>
      <x:c r="M14" s="26" t="n">
        <x:f>I14-F14</x:f>
        <x:v>0</x:v>
      </x:c>
      <x:c r="N14" s="26" t="n">
        <x:f>J14-G14</x:f>
        <x:v>0</x:v>
      </x:c>
      <x:c r="O14" s="26" t="n">
        <x:f>K14-D14</x:f>
        <x:v>0</x:v>
      </x:c>
      <x:c r="P14" s="16" t="str">
        <x:v>Arrêté 1460 p.7</x:v>
      </x:c>
    </x:row>
    <x:row r="15">
      <x:c r="A15" s="16" t="str">
        <x:v>Cycle 2</x:v>
      </x:c>
      <x:c r="B15" s="16" t="str">
        <x:v>Santé des forêts</x:v>
      </x:c>
      <x:c r="C15" s="16" t="str">
        <x:v>S4</x:v>
      </x:c>
      <x:c r="D15" s="26" t="n">
        <x:v>375</x:v>
      </x:c>
      <x:c r="E15" s="26" t="n">
        <x:v>200</x:v>
      </x:c>
      <x:c r="F15" s="26" t="n">
        <x:v>50</x:v>
      </x:c>
      <x:c r="G15" s="26" t="n">
        <x:v>125</x:v>
      </x:c>
      <x:c r="H15" s="26" t="n">
        <x:f>SUMIFS('03_BASE_REGLEMENTAIRE'!$K$2:$K$157,'03_BASE_REGLEMENTAIRE'!$B$2:$B$157,A15,'03_BASE_REGLEMENTAIRE'!$E$2:$E$157,B15,'03_BASE_REGLEMENTAIRE'!$F$2:$F$157,C15)</x:f>
        <x:v>200</x:v>
      </x:c>
      <x:c r="I15" s="26" t="n">
        <x:f>SUMIFS('03_BASE_REGLEMENTAIRE'!$L$2:$L$157,'03_BASE_REGLEMENTAIRE'!$B$2:$B$157,A15,'03_BASE_REGLEMENTAIRE'!$E$2:$E$157,B15,'03_BASE_REGLEMENTAIRE'!$F$2:$F$157,C15)</x:f>
        <x:v>50</x:v>
      </x:c>
      <x:c r="J15" s="26" t="n">
        <x:f>SUMIFS('03_BASE_REGLEMENTAIRE'!$M$2:$M$157,'03_BASE_REGLEMENTAIRE'!$B$2:$B$157,A15,'03_BASE_REGLEMENTAIRE'!$E$2:$E$157,B15,'03_BASE_REGLEMENTAIRE'!$F$2:$F$157,C15)</x:f>
        <x:v>125</x:v>
      </x:c>
      <x:c r="K15" s="26" t="n">
        <x:f>SUMIFS('03_BASE_REGLEMENTAIRE'!$J$2:$J$157,'03_BASE_REGLEMENTAIRE'!$B$2:$B$157,A15,'03_BASE_REGLEMENTAIRE'!$E$2:$E$157,B15,'03_BASE_REGLEMENTAIRE'!$F$2:$F$157,C15)</x:f>
        <x:v>375</x:v>
      </x:c>
      <x:c r="L15" s="26" t="n">
        <x:f>H15-E15</x:f>
        <x:v>0</x:v>
      </x:c>
      <x:c r="M15" s="26" t="n">
        <x:f>I15-F15</x:f>
        <x:v>0</x:v>
      </x:c>
      <x:c r="N15" s="26" t="n">
        <x:f>J15-G15</x:f>
        <x:v>0</x:v>
      </x:c>
      <x:c r="O15" s="26" t="n">
        <x:f>K15-D15</x:f>
        <x:v>0</x:v>
      </x:c>
      <x:c r="P15" s="16" t="str">
        <x:v>Arrêté 1460 p.8</x:v>
      </x:c>
    </x:row>
    <x:row r="16">
      <x:c r="A16" s="16" t="str">
        <x:v>Cycle 2</x:v>
      </x:c>
      <x:c r="B16" s="16" t="str">
        <x:v>Santé des forêts</x:v>
      </x:c>
      <x:c r="C16" s="16" t="str">
        <x:v>S5</x:v>
      </x:c>
      <x:c r="D16" s="26" t="n">
        <x:v>375</x:v>
      </x:c>
      <x:c r="E16" s="26" t="n">
        <x:v>282</x:v>
      </x:c>
      <x:c r="F16" s="26" t="n">
        <x:v>18</x:v>
      </x:c>
      <x:c r="G16" s="26" t="n">
        <x:v>105</x:v>
      </x:c>
      <x:c r="H16" s="26" t="n">
        <x:f>SUMIFS('03_BASE_REGLEMENTAIRE'!$K$2:$K$157,'03_BASE_REGLEMENTAIRE'!$B$2:$B$157,A16,'03_BASE_REGLEMENTAIRE'!$E$2:$E$157,B16,'03_BASE_REGLEMENTAIRE'!$F$2:$F$157,C16)</x:f>
        <x:v>282</x:v>
      </x:c>
      <x:c r="I16" s="26" t="n">
        <x:f>SUMIFS('03_BASE_REGLEMENTAIRE'!$L$2:$L$157,'03_BASE_REGLEMENTAIRE'!$B$2:$B$157,A16,'03_BASE_REGLEMENTAIRE'!$E$2:$E$157,B16,'03_BASE_REGLEMENTAIRE'!$F$2:$F$157,C16)</x:f>
        <x:v>18</x:v>
      </x:c>
      <x:c r="J16" s="26" t="n">
        <x:f>SUMIFS('03_BASE_REGLEMENTAIRE'!$M$2:$M$157,'03_BASE_REGLEMENTAIRE'!$B$2:$B$157,A16,'03_BASE_REGLEMENTAIRE'!$E$2:$E$157,B16,'03_BASE_REGLEMENTAIRE'!$F$2:$F$157,C16)</x:f>
        <x:v>75</x:v>
      </x:c>
      <x:c r="K16" s="26" t="n">
        <x:f>SUMIFS('03_BASE_REGLEMENTAIRE'!$J$2:$J$157,'03_BASE_REGLEMENTAIRE'!$B$2:$B$157,A16,'03_BASE_REGLEMENTAIRE'!$E$2:$E$157,B16,'03_BASE_REGLEMENTAIRE'!$F$2:$F$157,C16)</x:f>
        <x:v>375</x:v>
      </x:c>
      <x:c r="L16" s="26" t="n">
        <x:f>H16-E16</x:f>
        <x:v>0</x:v>
      </x:c>
      <x:c r="M16" s="26" t="n">
        <x:f>I16-F16</x:f>
        <x:v>0</x:v>
      </x:c>
      <x:c r="N16" s="26" t="n">
        <x:f>J16-G16</x:f>
        <x:v>-30</x:v>
      </x:c>
      <x:c r="O16" s="26" t="n">
        <x:f>K16-D16</x:f>
        <x:v>0</x:v>
      </x:c>
      <x:c r="P16" s="16" t="str">
        <x:v>Arrêté 1460 p.9</x:v>
      </x:c>
    </x:row>
  </x:sheetData>
  <x:conditionalFormatting sqref="L2:L16">
    <x:cfRule type="expression" dxfId="3" priority="1">
      <x:formula>ABS(L2)&gt;0.001</x:formula>
    </x:cfRule>
  </x:conditionalFormatting>
  <x:conditionalFormatting sqref="M2:M16">
    <x:cfRule type="expression" dxfId="4" priority="2">
      <x:formula>ABS(M2)&gt;0.001</x:formula>
    </x:cfRule>
  </x:conditionalFormatting>
  <x:conditionalFormatting sqref="N2:N16">
    <x:cfRule type="expression" dxfId="5" priority="3">
      <x:formula>ABS(N2)&gt;0.001</x:formula>
    </x:cfRule>
  </x:conditionalFormatting>
  <x:conditionalFormatting sqref="O2:O16">
    <x:cfRule type="expression" dxfId="6" priority="4">
      <x:formula>ABS(O2)&gt;0.001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52" hidden="0" customWidth="1"/>
  </x:cols>
  <x:sheetData>
    <x:row r="1" ht="34" customHeight="1">
      <x:c r="A1" s="19" t="str">
        <x:v>Source</x:v>
      </x:c>
      <x:c r="B1" s="19" t="str">
        <x:v>Formation</x:v>
      </x:c>
      <x:c r="C1" s="19" t="str">
        <x:v>Semestre / bloc</x:v>
      </x:c>
      <x:c r="D1" s="19" t="str">
        <x:v>Élément</x:v>
      </x:c>
      <x:c r="E1" s="19" t="str">
        <x:v>Valeur ligne(s)</x:v>
      </x:c>
      <x:c r="F1" s="19" t="str">
        <x:v>Valeur total/source</x:v>
      </x:c>
      <x:c r="G1" s="19" t="str">
        <x:v>Traitement</x:v>
      </x:c>
    </x:row>
    <x:row r="2">
      <x:c r="A2" s="32" t="str">
        <x:v>Arrêté 1459</x:v>
      </x:c>
      <x:c r="B2" s="32" t="str">
        <x:v>Gestion des forêts</x:v>
      </x:c>
      <x:c r="C2" s="32" t="str">
        <x:v>S3</x:v>
      </x:c>
      <x:c r="D2" s="32" t="str">
        <x:v>TP</x:v>
      </x:c>
      <x:c r="E2" s="32" t="str">
        <x:v>Somme des TP des matières = 135 h</x:v>
      </x:c>
      <x:c r="F2" s="32" t="str">
        <x:v>Total de semestre imprimé = 120 h</x:v>
      </x:c>
      <x:c r="G2" s="32" t="str">
        <x:v>Conserver les lignes telles qu’imprimées et signaler l’écart de 15 h.</x:v>
      </x:c>
    </x:row>
    <x:row r="3">
      <x:c r="A3" s="32" t="str">
        <x:v>Arrêté 1460</x:v>
      </x:c>
      <x:c r="B3" s="32" t="str">
        <x:v>Santé des forêts</x:v>
      </x:c>
      <x:c r="C3" s="32" t="str">
        <x:v>S5</x:v>
      </x:c>
      <x:c r="D3" s="32" t="str">
        <x:v>TP</x:v>
      </x:c>
      <x:c r="E3" s="32" t="str">
        <x:v>Somme des TP des matières = 75 h</x:v>
      </x:c>
      <x:c r="F3" s="32" t="str">
        <x:v>Total de semestre imprimé = 105 h</x:v>
      </x:c>
      <x:c r="G3" s="32" t="str">
        <x:v>Conserver les lignes telles qu’imprimées et signaler l’écart de 30 h.</x:v>
      </x:c>
    </x:row>
    <x:row r="4">
      <x:c r="A4" s="32" t="str">
        <x:v>Arrêté 1454</x:v>
      </x:c>
      <x:c r="B4" s="32" t="str">
        <x:v>Formation complémentaire</x:v>
      </x:c>
      <x:c r="C4" s="32" t="str">
        <x:v>Mémoire</x:v>
      </x:c>
      <x:c r="D4" s="32" t="str">
        <x:v>Travail individuel / Total</x:v>
      </x:c>
      <x:c r="E4" s="32" t="str">
        <x:v>Travail individuel = 80 h</x:v>
      </x:c>
      <x:c r="F4" s="32" t="str">
        <x:v>Total imprimé = 35 h</x:v>
      </x:c>
      <x:c r="G4" s="32" t="str">
        <x:v>Ne pas corriger sans validation administrative.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0" hidden="0" customWidth="1"/>
  </x:cols>
  <x:sheetData>
    <x:row r="1" ht="34" customHeight="1">
      <x:c r="A1" s="19" t="str">
        <x:v>Semestre</x:v>
      </x:c>
      <x:c r="B1" s="19" t="str">
        <x:v>Cours arrêté 1455</x:v>
      </x:c>
      <x:c r="C1" s="19" t="str">
        <x:v>TD arrêté 1455</x:v>
      </x:c>
      <x:c r="D1" s="19" t="str">
        <x:v>TP arrêté 1455</x:v>
      </x:c>
      <x:c r="E1" s="19" t="str">
        <x:v>Cours fichier anglais</x:v>
      </x:c>
      <x:c r="F1" s="19" t="str">
        <x:v>TD fichier anglais</x:v>
      </x:c>
      <x:c r="G1" s="19" t="str">
        <x:v>TP fichier anglais</x:v>
      </x:c>
      <x:c r="H1" s="19" t="str">
        <x:v>Décision retenue</x:v>
      </x:c>
    </x:row>
    <x:row r="2">
      <x:c r="A2" s="16" t="str">
        <x:v>S1</x:v>
      </x:c>
      <x:c r="B2" s="16" t="n">
        <x:v>261</x:v>
      </x:c>
      <x:c r="C2" s="16" t="n">
        <x:v>34.5</x:v>
      </x:c>
      <x:c r="D2" s="16" t="n">
        <x:v>79.5</x:v>
      </x:c>
      <x:c r="E2" s="16" t="n">
        <x:v>255</x:v>
      </x:c>
      <x:c r="F2" s="16" t="n">
        <x:v>43.5</x:v>
      </x:c>
      <x:c r="G2" s="16" t="n">
        <x:v>76.5</x:v>
      </x:c>
      <x:c r="H2" s="16" t="str">
        <x:v>Arrêté 1455 prioritaire</x:v>
      </x:c>
    </x:row>
    <x:row r="3">
      <x:c r="A3" s="16" t="str">
        <x:v>S2</x:v>
      </x:c>
      <x:c r="B3" s="16" t="n">
        <x:v>243</x:v>
      </x:c>
      <x:c r="C3" s="16" t="n">
        <x:v>49.5</x:v>
      </x:c>
      <x:c r="D3" s="16" t="n">
        <x:v>82.5</x:v>
      </x:c>
      <x:c r="E3" s="16" t="n">
        <x:v>234</x:v>
      </x:c>
      <x:c r="F3" s="16" t="n">
        <x:v>58.5</x:v>
      </x:c>
      <x:c r="G3" s="16" t="n">
        <x:v>82.5</x:v>
      </x:c>
      <x:c r="H3" s="16" t="str">
        <x:v>Arrêté 1455 prioritaire</x:v>
      </x:c>
    </x:row>
    <x:row r="4">
      <x:c r="A4" s="16" t="str">
        <x:v>S3</x:v>
      </x:c>
      <x:c r="B4" s="16" t="n">
        <x:v>240</x:v>
      </x:c>
      <x:c r="C4" s="16" t="n">
        <x:v>57</x:v>
      </x:c>
      <x:c r="D4" s="16" t="n">
        <x:v>78</x:v>
      </x:c>
      <x:c r="E4" s="16" t="n">
        <x:v>240</x:v>
      </x:c>
      <x:c r="F4" s="16" t="n">
        <x:v>57</x:v>
      </x:c>
      <x:c r="G4" s="16" t="n">
        <x:v>78</x:v>
      </x:c>
      <x:c r="H4" s="16" t="str">
        <x:v>Identique</x:v>
      </x:c>
    </x:row>
    <x:row r="5">
      <x:c r="A5" s="16" t="str">
        <x:v>S4</x:v>
      </x:c>
      <x:c r="B5" s="16" t="n">
        <x:v>264</x:v>
      </x:c>
      <x:c r="C5" s="16" t="n">
        <x:v>57</x:v>
      </x:c>
      <x:c r="D5" s="16" t="n">
        <x:v>54</x:v>
      </x:c>
      <x:c r="E5" s="16" t="n">
        <x:v>264</x:v>
      </x:c>
      <x:c r="F5" s="16" t="n">
        <x:v>54</x:v>
      </x:c>
      <x:c r="G5" s="16" t="n">
        <x:v>57</x:v>
      </x:c>
      <x:c r="H5" s="16" t="str">
        <x:v>Arrêté 1455 prioritaire</x:v>
      </x:c>
    </x:row>
    <x:row r="7">
      <x:c r="A7" s="36" t="str">
        <x:v>Le fichier anglais est conservé comme document d’appui. En cas de divergence, les volumes de l’arrêté officiel n°1455 signé sont retenus.</x:v>
      </x:c>
      <x:c r="B7" s="36"/>
      <x:c r="C7" s="36"/>
      <x:c r="D7" s="36"/>
      <x:c r="E7" s="36"/>
      <x:c r="F7" s="36"/>
      <x:c r="G7" s="36"/>
      <x:c r="H7" s="36"/>
    </x:row>
  </x:sheetData>
  <x:mergeCells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68" hidden="0" customWidth="1"/>
  </x:cols>
  <x:sheetData>
    <x:row r="1" ht="34" customHeight="1">
      <x:c r="A1" s="19" t="str">
        <x:v>Bloc</x:v>
      </x:c>
      <x:c r="B1" s="19" t="str">
        <x:v>Matière / activité</x:v>
      </x:c>
      <x:c r="C1" s="19" t="str">
        <x:v>Cours</x:v>
      </x:c>
      <x:c r="D1" s="19" t="str">
        <x:v>TD</x:v>
      </x:c>
      <x:c r="E1" s="19" t="str">
        <x:v>TP</x:v>
      </x:c>
      <x:c r="F1" s="19" t="str">
        <x:v>Travail individuel</x:v>
      </x:c>
      <x:c r="G1" s="19" t="str">
        <x:v>Total source</x:v>
      </x:c>
      <x:c r="H1" s="19" t="str">
        <x:v>Coeff</x:v>
      </x:c>
      <x:c r="I1" s="19" t="str">
        <x:v>Observation</x:v>
      </x:c>
    </x:row>
    <x:row r="2">
      <x:c r="A2" s="16" t="str">
        <x:v>Bloc complémentaire 1</x:v>
      </x:c>
      <x:c r="B2" s="16" t="str">
        <x:v>Programmes libres et open source</x:v>
      </x:c>
      <x:c r="C2" s="16" t="n">
        <x:v>20</x:v>
      </x:c>
      <x:c r="D2" s="16" t="n">
        <x:v>0</x:v>
      </x:c>
      <x:c r="E2" s="16" t="n">
        <x:v>15</x:v>
      </x:c>
      <x:c r="F2" s="16" t="n">
        <x:v>0</x:v>
      </x:c>
      <x:c r="G2" s="16" t="n">
        <x:v>35</x:v>
      </x:c>
      <x:c r="H2" s="16" t="n">
        <x:v>3</x:v>
      </x:c>
      <x:c r="I2" s="16" t="str">
        <x:v>Rattachement exact par semestre/spécialité non indiqué dans l’annexe fournie.</x:v>
      </x:c>
    </x:row>
    <x:row r="3">
      <x:c r="A3" s="16" t="str">
        <x:v>Bloc complémentaire 1</x:v>
      </x:c>
      <x:c r="B3" s="16" t="str">
        <x:v>Changement global</x:v>
      </x:c>
      <x:c r="C3" s="16" t="n">
        <x:v>20</x:v>
      </x:c>
      <x:c r="D3" s="16" t="n">
        <x:v>0</x:v>
      </x:c>
      <x:c r="E3" s="16" t="n">
        <x:v>0</x:v>
      </x:c>
      <x:c r="F3" s="16" t="n">
        <x:v>0</x:v>
      </x:c>
      <x:c r="G3" s="16" t="n">
        <x:v>20</x:v>
      </x:c>
      <x:c r="H3" s="16" t="n">
        <x:v>2</x:v>
      </x:c>
      <x:c r="I3" s="16" t="str">
        <x:v>Rattachement exact par semestre/spécialité non indiqué dans l’annexe fournie.</x:v>
      </x:c>
    </x:row>
    <x:row r="4">
      <x:c r="A4" s="16" t="str">
        <x:v>Bloc complémentaire 2</x:v>
      </x:c>
      <x:c r="B4" s="16" t="str">
        <x:v>Programmation informatique appliquée aux sciences et technologies</x:v>
      </x:c>
      <x:c r="C4" s="16" t="n">
        <x:v>20</x:v>
      </x:c>
      <x:c r="D4" s="16" t="n">
        <x:v>0</x:v>
      </x:c>
      <x:c r="E4" s="16" t="n">
        <x:v>15</x:v>
      </x:c>
      <x:c r="F4" s="16" t="n">
        <x:v>0</x:v>
      </x:c>
      <x:c r="G4" s="16" t="n">
        <x:v>35</x:v>
      </x:c>
      <x:c r="H4" s="16" t="n">
        <x:v>3</x:v>
      </x:c>
      <x:c r="I4" s="16" t="str">
        <x:v>Rattachement exact par semestre/spécialité non indiqué dans l’annexe fournie.</x:v>
      </x:c>
    </x:row>
    <x:row r="5">
      <x:c r="A5" s="16" t="str">
        <x:v>Bloc complémentaire 2</x:v>
      </x:c>
      <x:c r="B5" s="16" t="str">
        <x:v>Technique de reboisement</x:v>
      </x:c>
      <x:c r="C5" s="16" t="n">
        <x:v>20</x:v>
      </x:c>
      <x:c r="D5" s="16" t="n">
        <x:v>0</x:v>
      </x:c>
      <x:c r="E5" s="16" t="n">
        <x:v>0</x:v>
      </x:c>
      <x:c r="F5" s="16" t="n">
        <x:v>0</x:v>
      </x:c>
      <x:c r="G5" s="16" t="n">
        <x:v>20</x:v>
      </x:c>
      <x:c r="H5" s="16" t="n">
        <x:v>2</x:v>
      </x:c>
      <x:c r="I5" s="16" t="str">
        <x:v>Rattachement exact par semestre/spécialité non indiqué dans l’annexe fournie.</x:v>
      </x:c>
    </x:row>
    <x:row r="6">
      <x:c r="A6" s="16" t="str">
        <x:v>Bloc complémentaire 3</x:v>
      </x:c>
      <x:c r="B6" s="16" t="str">
        <x:v>Intelligence artificielle appliquée aux sciences et technologies</x:v>
      </x:c>
      <x:c r="C6" s="16" t="n">
        <x:v>20</x:v>
      </x:c>
      <x:c r="D6" s="16" t="n">
        <x:v>0</x:v>
      </x:c>
      <x:c r="E6" s="16" t="n">
        <x:v>15</x:v>
      </x:c>
      <x:c r="F6" s="16" t="n">
        <x:v>0</x:v>
      </x:c>
      <x:c r="G6" s="16" t="n">
        <x:v>35</x:v>
      </x:c>
      <x:c r="H6" s="16" t="n">
        <x:v>3</x:v>
      </x:c>
      <x:c r="I6" s="16" t="str">
        <x:v>Rattachement exact par semestre/spécialité non indiqué dans l’annexe fournie.</x:v>
      </x:c>
    </x:row>
    <x:row r="7">
      <x:c r="A7" s="16" t="str">
        <x:v>Bloc complémentaire 3</x:v>
      </x:c>
      <x:c r="B7" s="16" t="str">
        <x:v>Valorisation des essences forestières sahariennes et steppiques</x:v>
      </x:c>
      <x:c r="C7" s="16" t="n">
        <x:v>20</x:v>
      </x:c>
      <x:c r="D7" s="16" t="n">
        <x:v>0</x:v>
      </x:c>
      <x:c r="E7" s="16" t="n">
        <x:v>0</x:v>
      </x:c>
      <x:c r="F7" s="16" t="n">
        <x:v>0</x:v>
      </x:c>
      <x:c r="G7" s="16" t="n">
        <x:v>20</x:v>
      </x:c>
      <x:c r="H7" s="16" t="n">
        <x:v>2</x:v>
      </x:c>
      <x:c r="I7" s="16" t="str">
        <x:v>Rattachement exact par semestre/spécialité non indiqué dans l’annexe fournie.</x:v>
      </x:c>
    </x:row>
    <x:row r="8">
      <x:c r="A8" s="16" t="str">
        <x:v>Mémoire</x:v>
      </x:c>
      <x:c r="B8" s="16" t="str">
        <x:v>Mémoire de master</x:v>
      </x:c>
      <x:c r="C8" s="16"/>
      <x:c r="D8" s="16"/>
      <x:c r="E8" s="16"/>
      <x:c r="F8" s="16" t="n">
        <x:v>80</x:v>
      </x:c>
      <x:c r="G8" s="16" t="n">
        <x:v>35</x:v>
      </x:c>
      <x:c r="H8" s="16" t="n">
        <x:v>5</x:v>
      </x:c>
      <x:c r="I8" s="16" t="str">
        <x:v>L’annexe affiche 80 h de travail individuel et 35 h dans la colonne Total ; à clarifier.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3" hidden="0" customWidth="1"/>
    <x:col min="3" max="3" width="15" hidden="0" customWidth="1"/>
    <x:col min="4" max="4" width="34" hidden="0" customWidth="1"/>
    <x:col min="5" max="5" width="28" hidden="0" customWidth="1"/>
    <x:col min="6" max="6" width="48" hidden="0" customWidth="1"/>
    <x:col min="7" max="7" width="30" hidden="0" customWidth="1"/>
    <x:col min="8" max="8" width="22" hidden="0" customWidth="1"/>
    <x:col min="9" max="9" width="30" hidden="0" customWidth="1"/>
    <x:col min="10" max="10" width="52" hidden="0" customWidth="1"/>
    <x:col min="11" max="11" width="20" hidden="0" customWidth="1"/>
    <x:col min="12" max="12" width="58" hidden="0" customWidth="1"/>
  </x:cols>
  <x:sheetData>
    <x:row r="1">
      <x:c r="A1" s="45" t="str">
        <x:v>N°</x:v>
      </x:c>
      <x:c r="B1" s="45" t="str">
        <x:v>Nature / Référence</x:v>
      </x:c>
      <x:c r="C1" s="45" t="str">
        <x:v>Date</x:v>
      </x:c>
      <x:c r="D1" s="45" t="str">
        <x:v>Objet / portée</x:v>
      </x:c>
      <x:c r="E1" s="45" t="str">
        <x:v>Article(s) / point utile</x:v>
      </x:c>
      <x:c r="F1" s="45" t="str">
        <x:v>Règle retenue dans le classeur</x:v>
      </x:c>
      <x:c r="G1" s="45" t="str">
        <x:v>Portée juridique dans le calcul</x:v>
      </x:c>
      <x:c r="H1" s="45" t="str">
        <x:v>Statut / priorité</x:v>
      </x:c>
      <x:c r="I1" s="45" t="str">
        <x:v>Source officielle / institutionnelle</x:v>
      </x:c>
      <x:c r="J1" s="45" t="str">
        <x:v>URL source</x:v>
      </x:c>
      <x:c r="K1" s="45" t="str">
        <x:v>À joindre au dossier d'inspection ?</x:v>
      </x:c>
      <x:c r="L1" s="45" t="str">
        <x:v>Observation de sécurité juridique</x:v>
      </x:c>
    </x:row>
    <x:row r="2">
      <x:c r="A2" s="16" t="n">
        <x:v>1</x:v>
      </x:c>
      <x:c r="B2" s="16" t="str">
        <x:v>Loi n°99-05 modifiée et complétée</x:v>
      </x:c>
      <x:c r="C2" s="16" t="str">
        <x:v>04/04/1999</x:v>
      </x:c>
      <x:c r="D2" s="16" t="str">
        <x:v>Loi d’orientation sur l’enseignement supérieur</x:v>
      </x:c>
      <x:c r="E2" s="16" t="str">
        <x:v>Cadre général</x:v>
      </x:c>
      <x:c r="F2" s="16" t="str">
        <x:v>Fondement général des missions et de l’organisation de l’enseignement supérieur</x:v>
      </x:c>
      <x:c r="G2" s="16" t="str">
        <x:v>Contexte juridique général</x:v>
      </x:c>
      <x:c r="H2" s="16" t="str">
        <x:v>Référence de base</x:v>
      </x:c>
      <x:c r="I2" s="16" t="str">
        <x:v>JORADP / citée par les textes sectoriels</x:v>
      </x:c>
      <x:c r="J2" s="16" t="str">
        <x:v>https://www.joradp.dz/</x:v>
      </x:c>
      <x:c r="K2" s="16" t="str">
        <x:v>Oui</x:v>
      </x:c>
      <x:c r="L2" s="16" t="str">
        <x:v>À citer comme texte de niveau législatif encadrant le secteur.</x:v>
      </x:c>
    </x:row>
    <x:row r="3">
      <x:c r="A3" s="16" t="n">
        <x:v>2</x:v>
      </x:c>
      <x:c r="B3" s="16" t="str">
        <x:v>Ordonnance n°06-03 complétée</x:v>
      </x:c>
      <x:c r="C3" s="16" t="str">
        <x:v>15/07/2006</x:v>
      </x:c>
      <x:c r="D3" s="16" t="str">
        <x:v>Statut général de la fonction publique</x:v>
      </x:c>
      <x:c r="E3" s="16" t="str">
        <x:v>Droits et obligations des fonctionnaires</x:v>
      </x:c>
      <x:c r="F3" s="16" t="str">
        <x:v>Référence générale applicable aux enseignants chercheurs</x:v>
      </x:c>
      <x:c r="G3" s="16" t="str">
        <x:v>Contexte statutaire</x:v>
      </x:c>
      <x:c r="H3" s="16" t="str">
        <x:v>Référence générale</x:v>
      </x:c>
      <x:c r="I3" s="16" t="str">
        <x:v>JORADP / citée par le décret n°24-103</x:v>
      </x:c>
      <x:c r="J3" s="16" t="str">
        <x:v>https://www.joradp.dz/</x:v>
      </x:c>
      <x:c r="K3" s="16" t="str">
        <x:v>Oui</x:v>
      </x:c>
      <x:c r="L3" s="16" t="str">
        <x:v>Ne crée pas à elle seule une règle de calcul de charge.</x:v>
      </x:c>
    </x:row>
    <x:row r="4">
      <x:c r="A4" s="16" t="n">
        <x:v>3</x:v>
      </x:c>
      <x:c r="B4" s="16" t="str">
        <x:v>Décret exécutif n°08-130</x:v>
      </x:c>
      <x:c r="C4" s="16" t="str">
        <x:v>03/05/2008</x:v>
      </x:c>
      <x:c r="D4" s="16" t="str">
        <x:v>Statut particulier de l’enseignant chercheur</x:v>
      </x:c>
      <x:c r="E4" s="16" t="str">
        <x:v>Texte de base, notamment art. 6 modifié</x:v>
      </x:c>
      <x:c r="F4" s="16" t="str">
        <x:v>Base statutaire de la charge d’enseignement</x:v>
      </x:c>
      <x:c r="G4" s="16" t="str">
        <x:v>Charge réglementaire</x:v>
      </x:c>
      <x:c r="H4" s="16" t="str">
        <x:v>Texte statutaire de base, modifié</x:v>
      </x:c>
      <x:c r="I4" s="16" t="str">
        <x:v>MESRS / JORADP</x:v>
      </x:c>
      <x:c r="J4" s="16" t="str">
        <x:v>https://www.mesrs.dz/fr/textes-juridiques/chapitre4/</x:v>
      </x:c>
      <x:c r="K4" s="16" t="str">
        <x:v>Oui</x:v>
      </x:c>
      <x:c r="L4" s="16" t="str">
        <x:v>Toujours lire avec les modifications de 2024.</x:v>
      </x:c>
    </x:row>
    <x:row r="5">
      <x:c r="A5" s="16" t="n">
        <x:v>4</x:v>
      </x:c>
      <x:c r="B5" s="16" t="str">
        <x:v>Décret exécutif n°24-103</x:v>
      </x:c>
      <x:c r="C5" s="16" t="str">
        <x:v>07/03/2024</x:v>
      </x:c>
      <x:c r="D5" s="16" t="str">
        <x:v>Modifie et complète le décret exécutif n°08-130</x:v>
      </x:c>
      <x:c r="E5" s="16" t="str">
        <x:v>Art. 4 modifiant l’art. 6</x:v>
      </x:c>
      <x:c r="F5" s="16" t="str">
        <x:v>192 h de cours/an = 288 h de TD ou TP ; 1 h cours = 1 h 30 TD = 1 h 30 TP</x:v>
      </x:c>
      <x:c r="G5" s="16" t="str">
        <x:v>Formule centrale d’équivalence</x:v>
      </x:c>
      <x:c r="H5" s="16" t="str">
        <x:v>PRIORITÉ MAXIMALE</x:v>
      </x:c>
      <x:c r="I5" s="16" t="str">
        <x:v>JORADP n°18 du 13/03/2024</x:v>
      </x:c>
      <x:c r="J5" s="16" t="str">
        <x:v>https://www.joradp.dz/FTP/jo-francais/2024/F2024018.pdf</x:v>
      </x:c>
      <x:c r="K5" s="16" t="str">
        <x:v>Oui</x:v>
      </x:c>
      <x:c r="L5" s="16" t="str">
        <x:v>La péréquation de 2024 prévaut pour le calcul actuel.</x:v>
      </x:c>
    </x:row>
    <x:row r="6">
      <x:c r="A6" s="16" t="n">
        <x:v>5</x:v>
      </x:c>
      <x:c r="B6" s="16" t="str">
        <x:v>Décret exécutif n°24-103</x:v>
      </x:c>
      <x:c r="C6" s="16" t="str">
        <x:v>07/03/2024</x:v>
      </x:c>
      <x:c r="D6" s="16" t="str">
        <x:v>Durée minimale d’enseignement semestriel</x:v>
      </x:c>
      <x:c r="E6" s="16" t="str">
        <x:v>Art. 6 modifié</x:v>
      </x:c>
      <x:c r="F6" s="16" t="str">
        <x:v>Minimum national : 13 semaines hors examens ; ENSF paramètre 14 semaines</x:v>
      </x:c>
      <x:c r="G6" s="16" t="str">
        <x:v>Justification de la durée du semestre</x:v>
      </x:c>
      <x:c r="H6" s="16" t="str">
        <x:v>PRIORITÉ MAXIMALE</x:v>
      </x:c>
      <x:c r="I6" s="16" t="str">
        <x:v>JORADP n°18 du 13/03/2024</x:v>
      </x:c>
      <x:c r="J6" s="16" t="str">
        <x:v>https://www.joradp.dz/FTP/jo-francais/2024/F2024018.pdf</x:v>
      </x:c>
      <x:c r="K6" s="16" t="str">
        <x:v>Oui</x:v>
      </x:c>
      <x:c r="L6" s="16" t="str">
        <x:v>14 semaines est une organisation interne compatible avec le minimum réglementaire.</x:v>
      </x:c>
    </x:row>
    <x:row r="7">
      <x:c r="A7" s="16" t="n">
        <x:v>6</x:v>
      </x:c>
      <x:c r="B7" s="16" t="str">
        <x:v>Décret exécutif n°24-103</x:v>
      </x:c>
      <x:c r="C7" s="16" t="str">
        <x:v>07/03/2024</x:v>
      </x:c>
      <x:c r="D7" s="16" t="str">
        <x:v>Complément de charge dans l’établissement</x:v>
      </x:c>
      <x:c r="E7" s="16" t="str">
        <x:v>Art. 6 bis</x:v>
      </x:c>
      <x:c r="F7" s="16" t="str">
        <x:v>Un enseignant qui ne complète pas son volume dans son unité peut compléter dans une autre unité de son établissement</x:v>
      </x:c>
      <x:c r="G7" s="16" t="str">
        <x:v>Fondement des compléments de service</x:v>
      </x:c>
      <x:c r="H7" s="16" t="str">
        <x:v>PRIORITÉ MAXIMALE</x:v>
      </x:c>
      <x:c r="I7" s="16" t="str">
        <x:v>JORADP n°18 du 13/03/2024</x:v>
      </x:c>
      <x:c r="J7" s="16" t="str">
        <x:v>https://www.joradp.dz/FTP/jo-francais/2024/F2024018.pdf</x:v>
      </x:c>
      <x:c r="K7" s="16" t="str">
        <x:v>Oui</x:v>
      </x:c>
      <x:c r="L7" s="16" t="str">
        <x:v>Pour affectation hors unité d’origine pour nécessité absolue : respecter la procédure prévue par l’article.</x:v>
      </x:c>
    </x:row>
    <x:row r="8">
      <x:c r="A8" s="16" t="n">
        <x:v>7</x:v>
      </x:c>
      <x:c r="B8" s="16" t="str">
        <x:v>Décret exécutif n°24-103</x:v>
      </x:c>
      <x:c r="C8" s="16" t="str">
        <x:v>07/03/2024</x:v>
      </x:c>
      <x:c r="D8" s="16" t="str">
        <x:v>Missions liées à l’entrepreneuriat</x:v>
      </x:c>
      <x:c r="E8" s="16" t="str">
        <x:v>Art. 4 et dispositions relatives aux grades</x:v>
      </x:c>
      <x:c r="F8" s="16" t="str">
        <x:v>Promotion de l’esprit entrepreneurial, accompagnement des étudiants porteurs de projets innovants</x:v>
      </x:c>
      <x:c r="G8" s="16" t="str">
        <x:v>Base institutionnelle pour missions Incubateur/CDE</x:v>
      </x:c>
      <x:c r="H8" s="16" t="str">
        <x:v>Forte</x:v>
      </x:c>
      <x:c r="I8" s="16" t="str">
        <x:v>JORADP n°18 du 13/03/2024</x:v>
      </x:c>
      <x:c r="J8" s="16" t="str">
        <x:v>https://www.joradp.dz/FTP/jo-francais/2024/F2024018.pdf</x:v>
      </x:c>
      <x:c r="K8" s="16" t="str">
        <x:v>Oui</x:v>
      </x:c>
      <x:c r="L8" s="16" t="str">
        <x:v>Ne fixe pas d’équivalence automatique entre une heure CDE/Incubateur et une heure d’enseignement.</x:v>
      </x:c>
    </x:row>
    <x:row r="9">
      <x:c r="A9" s="16" t="n">
        <x:v>8</x:v>
      </x:c>
      <x:c r="B9" s="16" t="str">
        <x:v>Arrêté n°929</x:v>
      </x:c>
      <x:c r="C9" s="16" t="str">
        <x:v>28/07/2016</x:v>
      </x:c>
      <x:c r="D9" s="16" t="str">
        <x:v>Volume horaire hebdomadaire d’enseignement de l’enseignant chercheur</x:v>
      </x:c>
      <x:c r="E9" s="16" t="str">
        <x:v>Art. 2 à 6</x:v>
      </x:c>
      <x:c r="F9" s="16" t="str">
        <x:v>Cours/TD/TP constituent les tâches d’enseignement ; occupation accessoire seulement après accomplissement de la charge</x:v>
      </x:c>
      <x:c r="G9" s="16" t="str">
        <x:v>Organisation hebdomadaire et condition préalable aux tâches accessoires</x:v>
      </x:c>
      <x:c r="H9" s="16" t="str">
        <x:v>Applicable sous réserve des modifications ultérieures</x:v>
      </x:c>
      <x:c r="I9" s="16" t="str">
        <x:v>MESRS / Bulletin officiel 2016, 2e trimestre</x:v>
      </x:c>
      <x:c r="J9" s="16" t="str">
        <x:v>https://www.mesrs.dz/fr/textes-juridiques/chapitre4/</x:v>
      </x:c>
      <x:c r="K9" s="16" t="str">
        <x:v>Oui</x:v>
      </x:c>
      <x:c r="L9" s="16" t="str">
        <x:v>Son ancienne équivalence TP (1 h cours = 2 h TP) est dépassée par la péréquation du décret n°24-103.</x:v>
      </x:c>
    </x:row>
    <x:row r="10">
      <x:c r="A10" s="16" t="n">
        <x:v>9</x:v>
      </x:c>
      <x:c r="B10" s="16" t="str">
        <x:v>Arrêté n°931</x:v>
      </x:c>
      <x:c r="C10" s="16" t="str">
        <x:v>28/07/2016</x:v>
      </x:c>
      <x:c r="D10" s="16" t="str">
        <x:v>Modulation du volume horaire pour enseignant chercheur assurant un poste supérieur</x:v>
      </x:c>
      <x:c r="E10" s="16" t="str">
        <x:v>Modulation</x:v>
      </x:c>
      <x:c r="F10" s="16" t="str">
        <x:v>Demi-charge pour les bénéficiaires d’un poste supérieur couvert par décision ; cible interne ENSF : 48 h Eq. cours/semestre</x:v>
      </x:c>
      <x:c r="G10" s="16" t="str">
        <x:v>Réduction de charge</x:v>
      </x:c>
      <x:c r="H10" s="16" t="str">
        <x:v>Applicable si décision individuelle</x:v>
      </x:c>
      <x:c r="I10" s="16" t="str">
        <x:v>MESRS / Bulletin officiel 2016, 2e trimestre</x:v>
      </x:c>
      <x:c r="J10" s="16" t="str">
        <x:v>https://www.mesrs.dz/fr/textes-juridiques/chapitre4/</x:v>
      </x:c>
      <x:c r="K10" s="16" t="str">
        <x:v>Oui</x:v>
      </x:c>
      <x:c r="L10" s="16" t="str">
        <x:v>Le classeur exige n° et date de décision ; aucune demi-charge sans justificatif.</x:v>
      </x:c>
    </x:row>
    <x:row r="11">
      <x:c r="A11" s="16" t="n">
        <x:v>10</x:v>
      </x:c>
      <x:c r="B11" s="16" t="str">
        <x:v>Décret exécutif n°01-293 complété par n°04-312</x:v>
      </x:c>
      <x:c r="C11" s="16" t="str">
        <x:v>01/10/2001 / 22/09/2004</x:v>
      </x:c>
      <x:c r="D11" s="16" t="str">
        <x:v>Tâches d’enseignement et de formation assurées à titre d’occupation accessoire</x:v>
      </x:c>
      <x:c r="E11" s="16" t="str">
        <x:v>Occupation accessoire</x:v>
      </x:c>
      <x:c r="F11" s="16" t="str">
        <x:v>Les heures accessoires doivent être distinguées de la charge statutaire et soumises aux conditions réglementaires</x:v>
      </x:c>
      <x:c r="G11" s="16" t="str">
        <x:v>Heures supplémentaires / accessoires</x:v>
      </x:c>
      <x:c r="H11" s="16" t="str">
        <x:v>Important</x:v>
      </x:c>
      <x:c r="I11" s="16" t="str">
        <x:v>JORADP / MESRS</x:v>
      </x:c>
      <x:c r="J11" s="16" t="str">
        <x:v>https://www.mesrs.dz/fr/textes-juridiques/chapitre4/</x:v>
      </x:c>
      <x:c r="K11" s="16" t="str">
        <x:v>Oui</x:v>
      </x:c>
      <x:c r="L11" s="16" t="str">
        <x:v>Le dépassement calculé n’est pas automatiquement une heure supplémentaire rémunérable.</x:v>
      </x:c>
    </x:row>
    <x:row r="12">
      <x:c r="A12" s="16" t="n">
        <x:v>11</x:v>
      </x:c>
      <x:c r="B12" s="16" t="str">
        <x:v>Arrêté n°220 modifié, notamment par n°1862</x:v>
      </x:c>
      <x:c r="C12" s="16" t="str">
        <x:v>29/09/2007 / 29/10/2019</x:v>
      </x:c>
      <x:c r="D12" s="16" t="str">
        <x:v>Relèvement du seuil du volume horaire hebdomadaire au titre de l’occupation accessoire</x:v>
      </x:c>
      <x:c r="E12" s="16" t="str">
        <x:v>Seuils d’occupation accessoire</x:v>
      </x:c>
      <x:c r="F12" s="16" t="str">
        <x:v>À contrôler avant validation et paiement d’heures accessoires</x:v>
      </x:c>
      <x:c r="G12" s="16" t="str">
        <x:v>Contrôle des heures supplémentaires</x:v>
      </x:c>
      <x:c r="H12" s="16" t="str">
        <x:v>Important</x:v>
      </x:c>
      <x:c r="I12" s="16" t="str">
        <x:v>MESRS / Bulletin officiel</x:v>
      </x:c>
      <x:c r="J12" s="16" t="str">
        <x:v>https://www.mesrs.dz/fr/textes-juridiques/chapitre4/</x:v>
      </x:c>
      <x:c r="K12" s="16" t="str">
        <x:v>Oui</x:v>
      </x:c>
      <x:c r="L12" s="16" t="str">
        <x:v>À utiliser avec les décisions d’autorisation et de paiement applicables.</x:v>
      </x:c>
    </x:row>
    <x:row r="13">
      <x:c r="A13" s="16" t="n">
        <x:v>12</x:v>
      </x:c>
      <x:c r="B13" s="16" t="str">
        <x:v>Décret exécutif n°16-176</x:v>
      </x:c>
      <x:c r="C13" s="16" t="str">
        <x:v>14/06/2016</x:v>
      </x:c>
      <x:c r="D13" s="16" t="str">
        <x:v>Statut-type de l’école supérieure</x:v>
      </x:c>
      <x:c r="E13" s="16" t="str">
        <x:v>Organisation et fonctionnement des écoles supérieures</x:v>
      </x:c>
      <x:c r="F13" s="16" t="str">
        <x:v>Cadre organique de l’ENSF</x:v>
      </x:c>
      <x:c r="G13" s="16" t="str">
        <x:v>Organisation institutionnelle</x:v>
      </x:c>
      <x:c r="H13" s="16" t="str">
        <x:v>Référence structurelle</x:v>
      </x:c>
      <x:c r="I13" s="16" t="str">
        <x:v>JORADP / MESRS</x:v>
      </x:c>
      <x:c r="J13" s="16" t="str">
        <x:v>https://www.joradp.dz/</x:v>
      </x:c>
      <x:c r="K13" s="16" t="str">
        <x:v>Oui</x:v>
      </x:c>
      <x:c r="L13" s="16" t="str">
        <x:v>Texte cité dans les arrêtés et décrets propres à l’ENSF.</x:v>
      </x:c>
    </x:row>
    <x:row r="14">
      <x:c r="A14" s="16" t="n">
        <x:v>13</x:v>
      </x:c>
      <x:c r="B14" s="16" t="str">
        <x:v>Décret exécutif n°20-167</x:v>
      </x:c>
      <x:c r="C14" s="16" t="str">
        <x:v>27/06/2020</x:v>
      </x:c>
      <x:c r="D14" s="16" t="str">
        <x:v>Création de l’École Nationale Supérieure des Forêts</x:v>
      </x:c>
      <x:c r="E14" s="16" t="str">
        <x:v>Création et missions</x:v>
      </x:c>
      <x:c r="F14" s="16" t="str">
        <x:v>Établissement de rattachement de la présente affectation pédagogique</x:v>
      </x:c>
      <x:c r="G14" s="16" t="str">
        <x:v>Contexte institutionnel ENSF</x:v>
      </x:c>
      <x:c r="H14" s="16" t="str">
        <x:v>Référence structurelle</x:v>
      </x:c>
      <x:c r="I14" s="16" t="str">
        <x:v>JORADP n°38 du 30/06/2020</x:v>
      </x:c>
      <x:c r="J14" s="16" t="str">
        <x:v>https://services.mesrs.dz/DEJA/recueil/B34FR.pdf</x:v>
      </x:c>
      <x:c r="K14" s="16" t="str">
        <x:v>Oui</x:v>
      </x:c>
      <x:c r="L14" s="16" t="str">
        <x:v>À citer pour identifier juridiquement l’établissement.</x:v>
      </x:c>
    </x:row>
    <x:row r="15">
      <x:c r="A15" s="16" t="n">
        <x:v>14</x:v>
      </x:c>
      <x:c r="B15" s="16" t="str">
        <x:v>Décret exécutif n°12-293 complété</x:v>
      </x:c>
      <x:c r="C15" s="16" t="str">
        <x:v>21/07/2012</x:v>
      </x:c>
      <x:c r="D15" s="16" t="str">
        <x:v>Services communs de recherche scientifique et technologique</x:v>
      </x:c>
      <x:c r="E15" s="16" t="str">
        <x:v>Art. 12</x:v>
      </x:c>
      <x:c r="F15" s="16" t="str">
        <x:v>Fondement juridique des services communs de recherche de type Incubateur et CDE</x:v>
      </x:c>
      <x:c r="G15" s="16" t="str">
        <x:v>Contexte Incubateur/CDE</x:v>
      </x:c>
      <x:c r="H15" s="16" t="str">
        <x:v>Référence structurelle</x:v>
      </x:c>
      <x:c r="I15" s="16" t="str">
        <x:v>JORADP</x:v>
      </x:c>
      <x:c r="J15" s="16" t="str">
        <x:v>https://www.joradp.dz/</x:v>
      </x:c>
      <x:c r="K15" s="16" t="str">
        <x:v>Oui</x:v>
      </x:c>
      <x:c r="L15" s="16" t="str">
        <x:v>Ne règle pas l’équivalence horaire pédagogique.</x:v>
      </x:c>
    </x:row>
    <x:row r="16">
      <x:c r="A16" s="16" t="n">
        <x:v>15</x:v>
      </x:c>
      <x:c r="B16" s="16" t="str">
        <x:v>Arrêté interministériel du 18/01/2024</x:v>
      </x:c>
      <x:c r="C16" s="16" t="str">
        <x:v>18/01/2024</x:v>
      </x:c>
      <x:c r="D16" s="16" t="str">
        <x:v>Création du service commun de recherche « Incubateur » au sein de l’ENSF</x:v>
      </x:c>
      <x:c r="E16" s="16" t="str">
        <x:v>Art. 1 à 3</x:v>
      </x:c>
      <x:c r="F16" s="16" t="str">
        <x:v>L’Incubateur ENSF est juridiquement créé ; missions d’accompagnement, conseil, formation et suivi des projets</x:v>
      </x:c>
      <x:c r="G16" s="16" t="str">
        <x:v>Justification institutionnelle des affectations Incubateur</x:v>
      </x:c>
      <x:c r="H16" s="16" t="str">
        <x:v>Forte</x:v>
      </x:c>
      <x:c r="I16" s="16" t="str">
        <x:v>JORADP n°39 du 08/06/2024, p.12-13</x:v>
      </x:c>
      <x:c r="J16" s="16" t="str">
        <x:v>https://www.joradp.dz/FTP/jo-francais/2024/F2024039.pdf</x:v>
      </x:c>
      <x:c r="K16" s="16" t="str">
        <x:v>Oui</x:v>
      </x:c>
      <x:c r="L16" s="16" t="str">
        <x:v>Aucune équivalence horaire enseignement/Incubateur n’est fixée dans ce texte.</x:v>
      </x:c>
    </x:row>
    <x:row r="17">
      <x:c r="A17" s="16" t="n">
        <x:v>16</x:v>
      </x:c>
      <x:c r="B17" s="16" t="str">
        <x:v>Arrêté interministériel du 09/09/2024</x:v>
      </x:c>
      <x:c r="C17" s="16" t="str">
        <x:v>09/09/2024</x:v>
      </x:c>
      <x:c r="D17" s="16" t="str">
        <x:v>Création des centres de développement de l’entrepreneuriat (CDE)</x:v>
      </x:c>
      <x:c r="E17" s="16" t="str">
        <x:v>Art. 1 à 6 + annexe</x:v>
      </x:c>
      <x:c r="F17" s="16" t="str">
        <x:v>L’ENSF de Khenchela figure parmi les établissements de rattachement ; missions de formation, accompagnement et suivi</x:v>
      </x:c>
      <x:c r="G17" s="16" t="str">
        <x:v>Justification institutionnelle des affectations CDE</x:v>
      </x:c>
      <x:c r="H17" s="16" t="str">
        <x:v>Forte</x:v>
      </x:c>
      <x:c r="I17" s="16" t="str">
        <x:v>JORADP n°70 du 17/10/2024, p.11-15</x:v>
      </x:c>
      <x:c r="J17" s="16" t="str">
        <x:v>https://www.joradp.dz/FTP/jo-francais/2024/F2024070.pdf</x:v>
      </x:c>
      <x:c r="K17" s="16" t="str">
        <x:v>Oui</x:v>
      </x:c>
      <x:c r="L17" s="16" t="str">
        <x:v>Aucune équivalence horaire enseignement/CDE n’est fixée par cet arrêté.</x:v>
      </x:c>
    </x:row>
    <x:row r="18">
      <x:c r="A18" s="16" t="n">
        <x:v>17</x:v>
      </x:c>
      <x:c r="B18" s="16" t="str">
        <x:v>Arrêté n°1455</x:v>
      </x:c>
      <x:c r="C18" s="16" t="str">
        <x:v>30/10/2025</x:v>
      </x:c>
      <x:c r="D18" s="16" t="str">
        <x:v>Programme pédagogique de la formation de base ENSF</x:v>
      </x:c>
      <x:c r="E18" s="16" t="str">
        <x:v>S1 à S4</x:v>
      </x:c>
      <x:c r="F18" s="16" t="str">
        <x:v>Volumes réglementaires Cycle 1</x:v>
      </x:c>
      <x:c r="G18" s="16" t="str">
        <x:v>Référentiel matières Cycle 1</x:v>
      </x:c>
      <x:c r="H18" s="16" t="str">
        <x:v>Priorité pédagogique</x:v>
      </x:c>
      <x:c r="I18" s="16" t="str">
        <x:v>Arrêté ENSF fourni</x:v>
      </x:c>
      <x:c r="J18" s="16" t="str">
        <x:v>Document interne fourni</x:v>
      </x:c>
      <x:c r="K18" s="16" t="str">
        <x:v>Oui</x:v>
      </x:c>
      <x:c r="L18" s="16" t="str">
        <x:v>Source prioritaire sur le Cycle 1.</x:v>
      </x:c>
    </x:row>
    <x:row r="19">
      <x:c r="A19" s="16" t="n">
        <x:v>18</x:v>
      </x:c>
      <x:c r="B19" s="16" t="str">
        <x:v>Arrêtés n°1457, 1458, 1459, 1460</x:v>
      </x:c>
      <x:c r="C19" s="16" t="str">
        <x:v>04/12/2024</x:v>
      </x:c>
      <x:c r="D19" s="16" t="str">
        <x:v>Programmes pédagogiques du Cycle 2 ENSF</x:v>
      </x:c>
      <x:c r="E19" s="16" t="str">
        <x:v>S1-S2 tronc commun ; S3-S6 spécialités</x:v>
      </x:c>
      <x:c r="F19" s="16" t="str">
        <x:v>Volumes réglementaires Cycle 2</x:v>
      </x:c>
      <x:c r="G19" s="16" t="str">
        <x:v>Référentiel matières Cycle 2</x:v>
      </x:c>
      <x:c r="H19" s="16" t="str">
        <x:v>Priorité pédagogique</x:v>
      </x:c>
      <x:c r="I19" s="16" t="str">
        <x:v>Arrêtés ENSF fournis</x:v>
      </x:c>
      <x:c r="J19" s="16" t="str">
        <x:v>Documents internes fournis</x:v>
      </x:c>
      <x:c r="K19" s="16" t="str">
        <x:v>Oui</x:v>
      </x:c>
      <x:c r="L19" s="16" t="str">
        <x:v>Comprend Sciences forestières, Géomatique, Gestion et Santé des forêts.</x:v>
      </x:c>
    </x:row>
    <x:row r="20">
      <x:c r="A20" s="16" t="n">
        <x:v>19</x:v>
      </x:c>
      <x:c r="B20" s="16" t="str">
        <x:v>Arrêté n°1454</x:v>
      </x:c>
      <x:c r="C20" s="16" t="str">
        <x:v>30/10/2025</x:v>
      </x:c>
      <x:c r="D20" s="16" t="str">
        <x:v>Formation complémentaire en vue du diplôme de Master</x:v>
      </x:c>
      <x:c r="E20" s="16" t="str">
        <x:v>Annexe formation complémentaire</x:v>
      </x:c>
      <x:c r="F20" s="16" t="str">
        <x:v>Volumes de la formation complémentaire intégrés séparément</x:v>
      </x:c>
      <x:c r="G20" s="16" t="str">
        <x:v>Charge complémentaire Cycle 2</x:v>
      </x:c>
      <x:c r="H20" s="16" t="str">
        <x:v>Priorité pédagogique</x:v>
      </x:c>
      <x:c r="I20" s="16" t="str">
        <x:v>Arrêté ENSF fourni</x:v>
      </x:c>
      <x:c r="J20" s="16" t="str">
        <x:v>Document interne fourni</x:v>
      </x:c>
      <x:c r="K20" s="16" t="str">
        <x:v>Oui</x:v>
      </x:c>
      <x:c r="L20" s="16" t="str">
        <x:v>Rattachement précis de certains blocs à clarifier administrativement.</x:v>
      </x:c>
    </x:row>
    <x:row r="21">
      <x:c r="A21" s="16" t="n">
        <x:v>20</x:v>
      </x:c>
      <x:c r="B21" s="16" t="str">
        <x:v>Paramètre ENSF 2026/2027</x:v>
      </x:c>
      <x:c r="C21" s="16" t="str">
        <x:v>—</x:v>
      </x:c>
      <x:c r="D21" s="16" t="str">
        <x:v>Répartition semestrielle interne de la charge</x:v>
      </x:c>
      <x:c r="E21" s="16" t="str">
        <x:v>Gestion interne</x:v>
      </x:c>
      <x:c r="F21" s="16" t="str">
        <x:v>96 h Eq. cours par semestre ; 48 h pour demi-charge ; 14 semaines ; séance = 1h30</x:v>
      </x:c>
      <x:c r="G21" s="16" t="str">
        <x:v>Pilotage semestriel de l’affectation</x:v>
      </x:c>
      <x:c r="H21" s="16" t="str">
        <x:v>Règle interne de gestion</x:v>
      </x:c>
      <x:c r="I21" s="16" t="str">
        <x:v>Direction ENSF</x:v>
      </x:c>
      <x:c r="J21" s="16" t="str">
        <x:v>Décision / PV interne à formaliser</x:v>
      </x:c>
      <x:c r="K21" s="16" t="str">
        <x:v>À formaliser</x:v>
      </x:c>
      <x:c r="L21" s="16" t="str">
        <x:v>La référence nationale est annuelle (192 h) ; le 96 h/semestre est la déclinaison interne retenue par l’établissement.</x:v>
      </x:c>
    </x:row>
    <x:row r="22">
      <x:c r="A22" s="16" t="n">
        <x:v>21</x:v>
      </x:c>
      <x:c r="B22" s="16" t="str">
        <x:v>Règle organisationnelle ENSF 2026/2027</x:v>
      </x:c>
      <x:c r="C22" s="16" t="str">
        <x:v>—</x:v>
      </x:c>
      <x:c r="D22" s="16" t="str">
        <x:v>Sorties pédagogiques</x:v>
      </x:c>
      <x:c r="E22" s="16" t="str">
        <x:v>Gestion interne</x:v>
      </x:c>
      <x:c r="F22" s="16" t="str">
        <x:v>1 sortie = 8 h de TP, comptabilisée séparément du TP réglementaire des arrêtés</x:v>
      </x:c>
      <x:c r="G22" s="16" t="str">
        <x:v>Charge pédagogique complémentaire</x:v>
      </x:c>
      <x:c r="H22" s="16" t="str">
        <x:v>Règle interne de gestion</x:v>
      </x:c>
      <x:c r="I22" s="16" t="str">
        <x:v>Direction ENSF</x:v>
      </x:c>
      <x:c r="J22" s="16" t="str">
        <x:v>Décision / PV interne à formaliser</x:v>
      </x:c>
      <x:c r="K22" s="16" t="str">
        <x:v>À formaliser</x:v>
      </x:c>
      <x:c r="L22" s="16" t="str">
        <x:v>À sécuriser par une décision ou un PV interne avant inspection.</x:v>
      </x:c>
    </x:row>
  </x:sheetData>
  <x:conditionalFormatting sqref="H2:H22">
    <x:cfRule type="expression" dxfId="7" priority="1">
      <x:formula>H2="PRIORITÉ MAXIMALE"</x:formula>
    </x:cfRule>
  </x:conditionalFormatting>
  <x:conditionalFormatting sqref="K2:K22">
    <x:cfRule type="expression" dxfId="8" priority="2">
      <x:formula>K2="À formaliser"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cf748a50c944a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42" hidden="0" customWidth="1"/>
    <x:col min="6" max="6" width="52" hidden="0" customWidth="1"/>
  </x:cols>
  <x:sheetData>
    <x:row r="1">
      <x:c r="A1" s="45" t="str">
        <x:v>Paramètre</x:v>
      </x:c>
      <x:c r="B1" s="45" t="str">
        <x:v>Valeur</x:v>
      </x:c>
      <x:c r="C1" s="45" t="str">
        <x:v>Unité</x:v>
      </x:c>
      <x:c r="D1" s="45" t="str">
        <x:v>Nature</x:v>
      </x:c>
      <x:c r="E1" s="45" t="str">
        <x:v>Base juridique / administrative</x:v>
      </x:c>
      <x:c r="F1" s="45" t="str">
        <x:v>Observation</x:v>
      </x:c>
    </x:row>
    <x:row r="2">
      <x:c r="A2" s="16" t="str">
        <x:v>Charge annuelle normale</x:v>
      </x:c>
      <x:c r="B2" s="46" t="n">
        <x:v>192</x:v>
      </x:c>
      <x:c r="C2" s="16" t="str">
        <x:v>h Eq. cours</x:v>
      </x:c>
      <x:c r="D2" s="16" t="str">
        <x:v>Réglementaire</x:v>
      </x:c>
      <x:c r="E2" s="16" t="str">
        <x:v>Décret exécutif n°24-103, art. 6</x:v>
      </x:c>
      <x:c r="F2" s="16" t="str">
        <x:v>Référence nationale annuelle.</x:v>
      </x:c>
    </x:row>
    <x:row r="3">
      <x:c r="A3" s="16" t="str">
        <x:v>Charge semestrielle cible</x:v>
      </x:c>
      <x:c r="B3" s="46" t="n">
        <x:v>96</x:v>
      </x:c>
      <x:c r="C3" s="16" t="str">
        <x:v>h Eq. cours</x:v>
      </x:c>
      <x:c r="D3" s="16" t="str">
        <x:v>Gestion interne</x:v>
      </x:c>
      <x:c r="E3" s="16" t="str">
        <x:v>192 / 2 semestres</x:v>
      </x:c>
      <x:c r="F3" s="16" t="str">
        <x:v>Répartition interne retenue par l’ENSF.</x:v>
      </x:c>
    </x:row>
    <x:row r="4">
      <x:c r="A4" s="16" t="str">
        <x:v>Charge annuelle demi-charge</x:v>
      </x:c>
      <x:c r="B4" s="46" t="n">
        <x:v>96</x:v>
      </x:c>
      <x:c r="C4" s="16" t="str">
        <x:v>h Eq. cours</x:v>
      </x:c>
      <x:c r="D4" s="16" t="str">
        <x:v>Réglementaire + décision individuelle</x:v>
      </x:c>
      <x:c r="E4" s="16" t="str">
        <x:v>Arrêté n°931 + décision de poste supérieur</x:v>
      </x:c>
      <x:c r="F4" s="16" t="str">
        <x:v>À n’appliquer qu’avec décision.</x:v>
      </x:c>
    </x:row>
    <x:row r="5">
      <x:c r="A5" s="16" t="str">
        <x:v>Charge semestrielle demi-charge</x:v>
      </x:c>
      <x:c r="B5" s="46" t="n">
        <x:v>48</x:v>
      </x:c>
      <x:c r="C5" s="16" t="str">
        <x:v>h Eq. cours</x:v>
      </x:c>
      <x:c r="D5" s="16" t="str">
        <x:v>Gestion interne</x:v>
      </x:c>
      <x:c r="E5" s="16" t="str">
        <x:v>96 / 2 semestres</x:v>
      </x:c>
      <x:c r="F5" s="16" t="str">
        <x:v>Cible semestrielle ENSF.</x:v>
      </x:c>
    </x:row>
    <x:row r="6">
      <x:c r="A6" s="16" t="str">
        <x:v>Nombre de semaines ENSF</x:v>
      </x:c>
      <x:c r="B6" s="46" t="n">
        <x:v>14</x:v>
      </x:c>
      <x:c r="C6" s="16" t="str">
        <x:v>semaines</x:v>
      </x:c>
      <x:c r="D6" s="16" t="str">
        <x:v>Organisation interne</x:v>
      </x:c>
      <x:c r="E6" s="16" t="str">
        <x:v>Minimum national 13 semaines (décret n°24-103)</x:v>
      </x:c>
      <x:c r="F6" s="16" t="str">
        <x:v>Hors examens.</x:v>
      </x:c>
    </x:row>
    <x:row r="7">
      <x:c r="A7" s="16" t="str">
        <x:v>Durée d’une séance</x:v>
      </x:c>
      <x:c r="B7" s="46" t="n">
        <x:v>1.5</x:v>
      </x:c>
      <x:c r="C7" s="16" t="str">
        <x:v>heures</x:v>
      </x:c>
      <x:c r="D7" s="16" t="str">
        <x:v>Organisation interne</x:v>
      </x:c>
      <x:c r="E7" s="16" t="str">
        <x:v>Emploi du temps ENSF</x:v>
      </x:c>
      <x:c r="F7" s="16" t="str">
        <x:v>Toutes les séances = 1h30.</x:v>
      </x:c>
    </x:row>
    <x:row r="8">
      <x:c r="A8" s="16" t="str">
        <x:v>Coefficient Eq. cours – Cours</x:v>
      </x:c>
      <x:c r="B8" s="46" t="n">
        <x:v>1</x:v>
      </x:c>
      <x:c r="C8" s="16" t="str">
        <x:v>Eq. cours / h physique</x:v>
      </x:c>
      <x:c r="D8" s="16" t="str">
        <x:v>Réglementaire</x:v>
      </x:c>
      <x:c r="E8" s="16" t="str">
        <x:v>Décret n°24-103</x:v>
      </x:c>
      <x:c r="F8" s="16" t="str">
        <x:v>1 h cours = 1 h Eq. cours.</x:v>
      </x:c>
    </x:row>
    <x:row r="9">
      <x:c r="A9" s="16" t="str">
        <x:v>Coefficient Eq. cours – TD</x:v>
      </x:c>
      <x:c r="B9" s="46" t="n">
        <x:v>0.6666666666666666</x:v>
      </x:c>
      <x:c r="C9" s="16" t="str">
        <x:v>Eq. cours / h physique</x:v>
      </x:c>
      <x:c r="D9" s="16" t="str">
        <x:v>Réglementaire</x:v>
      </x:c>
      <x:c r="E9" s="16" t="str">
        <x:v>Décret n°24-103</x:v>
      </x:c>
      <x:c r="F9" s="16" t="str">
        <x:v>1h30 TD = 1 h cours.</x:v>
      </x:c>
    </x:row>
    <x:row r="10">
      <x:c r="A10" s="16" t="str">
        <x:v>Coefficient Eq. cours – TP</x:v>
      </x:c>
      <x:c r="B10" s="46" t="n">
        <x:v>0.6666666666666666</x:v>
      </x:c>
      <x:c r="C10" s="16" t="str">
        <x:v>Eq. cours / h physique</x:v>
      </x:c>
      <x:c r="D10" s="16" t="str">
        <x:v>Réglementaire</x:v>
      </x:c>
      <x:c r="E10" s="16" t="str">
        <x:v>Décret n°24-103</x:v>
      </x:c>
      <x:c r="F10" s="16" t="str">
        <x:v>1h30 TP = 1 h cours.</x:v>
      </x:c>
    </x:row>
    <x:row r="11">
      <x:c r="A11" s="16" t="str">
        <x:v>Durée d’une sortie pédagogique</x:v>
      </x:c>
      <x:c r="B11" s="46" t="n">
        <x:v>8</x:v>
      </x:c>
      <x:c r="C11" s="16" t="str">
        <x:v>h TP</x:v>
      </x:c>
      <x:c r="D11" s="16" t="str">
        <x:v>Organisation interne</x:v>
      </x:c>
      <x:c r="E11" s="16" t="str">
        <x:v>Règle ENSF à formaliser</x:v>
      </x:c>
      <x:c r="F11" s="16" t="str">
        <x:v>Comptabilisée séparément.</x:v>
      </x:c>
    </x:row>
    <x:row r="14">
      <x:c r="A14" s="45" t="str">
        <x:v>Formule</x:v>
      </x:c>
      <x:c r="B14" s="45" t="str">
        <x:v>Expression</x:v>
      </x:c>
      <x:c r="C14" s="45" t="str">
        <x:v>Exemple</x:v>
      </x:c>
      <x:c r="D14" s="45" t="str">
        <x:v>Résultat</x:v>
      </x:c>
      <x:c r="E14" s="45" t="str">
        <x:v>Interprétation</x:v>
      </x:c>
      <x:c r="F14" s="45" t="str">
        <x:v>Note</x:v>
      </x:c>
    </x:row>
    <x:row r="15">
      <x:c r="A15" s="16" t="str">
        <x:v>Eq. cours Cours</x:v>
      </x:c>
      <x:c r="B15" s="16" t="str">
        <x:v>H cours × 1</x:v>
      </x:c>
      <x:c r="C15" s="16" t="str">
        <x:v>42 h</x:v>
      </x:c>
      <x:c r="D15" s="16" t="str">
        <x:v>42</x:v>
      </x:c>
      <x:c r="E15" s="16" t="str">
        <x:v>42 h Eq. cours</x:v>
      </x:c>
      <x:c r="F15" s="16" t="str"/>
    </x:row>
    <x:row r="16">
      <x:c r="A16" s="16" t="str">
        <x:v>Eq. cours TD</x:v>
      </x:c>
      <x:c r="B16" s="16" t="str">
        <x:v>H TD ÷ 1,5</x:v>
      </x:c>
      <x:c r="C16" s="16" t="str">
        <x:v>21 h</x:v>
      </x:c>
      <x:c r="D16" s="16" t="str">
        <x:v>14</x:v>
      </x:c>
      <x:c r="E16" s="16" t="str">
        <x:v>14 h Eq. cours</x:v>
      </x:c>
      <x:c r="F16" s="16" t="str"/>
    </x:row>
    <x:row r="17">
      <x:c r="A17" s="16" t="str">
        <x:v>Eq. cours TP</x:v>
      </x:c>
      <x:c r="B17" s="16" t="str">
        <x:v>H TP ÷ 1,5</x:v>
      </x:c>
      <x:c r="C17" s="16" t="str">
        <x:v>21 h</x:v>
      </x:c>
      <x:c r="D17" s="16" t="str">
        <x:v>14</x:v>
      </x:c>
      <x:c r="E17" s="16" t="str">
        <x:v>14 h Eq. cours</x:v>
      </x:c>
      <x:c r="F17" s="16" t="str"/>
    </x:row>
    <x:row r="18">
      <x:c r="A18" s="16" t="str">
        <x:v>Séance hebdo sur 14 semaines</x:v>
      </x:c>
      <x:c r="B18" s="16" t="str">
        <x:v>1,5 h × 14</x:v>
      </x:c>
      <x:c r="C18" s="16" t="str">
        <x:v>1 séance/semaine</x:v>
      </x:c>
      <x:c r="D18" s="16" t="str">
        <x:v>21</x:v>
      </x:c>
      <x:c r="E18" s="16" t="str">
        <x:v>21 h physiques</x:v>
      </x:c>
      <x:c r="F18" s="16" t="str"/>
    </x:row>
    <x:row r="19">
      <x:c r="A19" s="16" t="str">
        <x:v>Sortie pédagogique</x:v>
      </x:c>
      <x:c r="B19" s="16" t="str">
        <x:v>8 h TP ÷ 1,5</x:v>
      </x:c>
      <x:c r="C19" s="16" t="str">
        <x:v>1 sortie</x:v>
      </x:c>
      <x:c r="D19" s="16" t="str">
        <x:v>5,33</x:v>
      </x:c>
      <x:c r="E19" s="16" t="str">
        <x:v>5,33 h Eq. cours</x:v>
      </x:c>
      <x:c r="F19" s="16" t="str">
        <x:v>Sous réserve de validation de la règle interne 8 h TP/sortie.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4" hidden="0" customWidth="1"/>
    <x:col min="4" max="4" width="25" hidden="0" customWidth="1"/>
    <x:col min="5" max="5" width="38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68" t="str">
        <x:v>ÉCOLE NATIONALE SUPÉRIEURE DES FORÊTS – AFFECTATION PÉDAGOGIQUE</x:v>
      </x:c>
      <x:c r="B1" s="68"/>
      <x:c r="C1" s="68"/>
      <x:c r="D1" s="68"/>
      <x:c r="E1" s="68"/>
      <x:c r="F1" s="68"/>
      <x:c r="G1" s="68"/>
      <x:c r="H1" s="68"/>
      <x:c r="I1" s="68"/>
      <x:c r="J1" s="68"/>
    </x:row>
    <x:row r="2">
      <x:c r="A2" s="69" t="str">
        <x:v>Année universitaire 2026/2027 – Prototype de fiche individuelle imprimable</x:v>
      </x:c>
      <x:c r="B2" s="69"/>
      <x:c r="C2" s="69"/>
      <x:c r="D2" s="69"/>
      <x:c r="E2" s="69"/>
      <x:c r="F2" s="69"/>
      <x:c r="G2" s="69"/>
      <x:c r="H2" s="69"/>
      <x:c r="I2" s="69"/>
      <x:c r="J2" s="69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>
      <x:c r="A4" s="53" t="str">
        <x:v>Enseignant</x:v>
      </x:c>
      <x:c r="B4" s="16" t="str">
        <x:v>[Sélection ultérieure]</x:v>
      </x:c>
      <x:c r="C4" s="53" t="str">
        <x:v>Grade</x:v>
      </x:c>
      <x:c r="D4" s="16" t="str">
        <x:v>[Auto]</x:v>
      </x:c>
      <x:c r="E4" s="53" t="str">
        <x:v>Département</x:v>
      </x:c>
      <x:c r="F4" s="16" t="str">
        <x:v>[Auto]</x:v>
      </x:c>
      <x:c r="G4" s="16"/>
      <x:c r="H4" s="16"/>
      <x:c r="I4" s="16"/>
      <x:c r="J4" s="16"/>
    </x:row>
    <x:row r="5">
      <x:c r="A5" s="53" t="str">
        <x:v>Fonction / poste supérieur</x:v>
      </x:c>
      <x:c r="B5" s="16" t="str">
        <x:v>[Auto]</x:v>
      </x:c>
      <x:c r="C5" s="53" t="str">
        <x:v>Décision</x:v>
      </x:c>
      <x:c r="D5" s="16" t="str">
        <x:v>[N° / date]</x:v>
      </x:c>
      <x:c r="E5" s="53" t="str">
        <x:v>Type de charge</x:v>
      </x:c>
      <x:c r="F5" s="16" t="str">
        <x:v>Normale / Demi-charge</x:v>
      </x:c>
      <x:c r="G5" s="16"/>
      <x:c r="H5" s="16"/>
      <x:c r="I5" s="16"/>
      <x:c r="J5" s="16"/>
    </x:row>
    <x:row r="6">
      <x:c r="A6" s="53" t="str">
        <x:v>Charge cible S1</x:v>
      </x:c>
      <x:c r="B6" s="16" t="str">
        <x:v>96 / 48 h Eq.C</x:v>
      </x:c>
      <x:c r="C6" s="53" t="str">
        <x:v>Charge cible S2</x:v>
      </x:c>
      <x:c r="D6" s="16" t="str">
        <x:v>96 / 48 h Eq.C</x:v>
      </x:c>
      <x:c r="E6" s="53" t="str">
        <x:v>Charge annuelle</x:v>
      </x:c>
      <x:c r="F6" s="16" t="str">
        <x:v>192 / 96 h Eq.C</x:v>
      </x:c>
      <x:c r="G6" s="16"/>
      <x:c r="H6" s="16"/>
      <x:c r="I6" s="16"/>
      <x:c r="J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45" t="str">
        <x:v>Sem.</x:v>
      </x:c>
      <x:c r="B9" s="45" t="str">
        <x:v>Cycle</x:v>
      </x:c>
      <x:c r="C9" s="45" t="str">
        <x:v>Niveau</x:v>
      </x:c>
      <x:c r="D9" s="45" t="str">
        <x:v>Spécialité / Bloc</x:v>
      </x:c>
      <x:c r="E9" s="45" t="str">
        <x:v>Matière / Activité</x:v>
      </x:c>
      <x:c r="F9" s="45" t="str">
        <x:v>Type</x:v>
      </x:c>
      <x:c r="G9" s="45" t="str">
        <x:v>Groupe</x:v>
      </x:c>
      <x:c r="H9" s="45" t="str">
        <x:v>Heures physiques</x:v>
      </x:c>
      <x:c r="I9" s="45" t="str">
        <x:v>Eq. cours</x:v>
      </x:c>
      <x:c r="J9" s="45" t="str">
        <x:v>Justificatif</x:v>
      </x:c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</x:row>
    <x:row r="25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</x:row>
    <x:row r="26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</x:row>
    <x:row r="27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</x:row>
    <x:row r="28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</x:row>
    <x:row r="29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</x:row>
    <x:row r="30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70" t="str">
        <x:v>SYNTHÈSE DE LA CHARGE</x:v>
      </x:c>
      <x:c r="B33" s="70"/>
      <x:c r="C33" s="70"/>
      <x:c r="D33" s="70"/>
      <x:c r="E33" s="70"/>
      <x:c r="F33" s="70"/>
      <x:c r="G33" s="70"/>
      <x:c r="H33" s="70"/>
      <x:c r="I33" s="70"/>
      <x:c r="J33" s="70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45" t="str">
        <x:v>Indicateur</x:v>
      </x:c>
      <x:c r="B35" s="45" t="str">
        <x:v>Semestre 1</x:v>
      </x:c>
      <x:c r="C35" s="45" t="str">
        <x:v>Semestre 2</x:v>
      </x:c>
      <x:c r="D35" s="45" t="str">
        <x:v>Annuel</x:v>
      </x:c>
      <x:c r="E35" s="16"/>
      <x:c r="F35" s="16"/>
      <x:c r="G35" s="16"/>
      <x:c r="H35" s="16"/>
      <x:c r="I35" s="16"/>
      <x:c r="J35" s="16"/>
    </x:row>
    <x:row r="36">
      <x:c r="A36" s="71" t="str">
        <x:v>Charge d’enseignement (Eq. cours)</x:v>
      </x:c>
      <x:c r="B36" s="16" t="str"/>
      <x:c r="C36" s="16" t="str"/>
      <x:c r="D36" s="16" t="str"/>
      <x:c r="E36" s="16"/>
      <x:c r="F36" s="16"/>
      <x:c r="G36" s="16"/>
      <x:c r="H36" s="16"/>
      <x:c r="I36" s="16"/>
      <x:c r="J36" s="16"/>
    </x:row>
    <x:row r="37">
      <x:c r="A37" s="71" t="str">
        <x:v>Complément CDE / Incubateur reconnu</x:v>
      </x:c>
      <x:c r="B37" s="16" t="str"/>
      <x:c r="C37" s="16" t="str"/>
      <x:c r="D37" s="16" t="str"/>
      <x:c r="E37" s="16"/>
      <x:c r="F37" s="16"/>
      <x:c r="G37" s="16"/>
      <x:c r="H37" s="16"/>
      <x:c r="I37" s="16"/>
      <x:c r="J37" s="16"/>
    </x:row>
    <x:row r="38">
      <x:c r="A38" s="71" t="str">
        <x:v>Charge totale reconnue</x:v>
      </x:c>
      <x:c r="B38" s="16" t="str"/>
      <x:c r="C38" s="16" t="str"/>
      <x:c r="D38" s="16" t="str"/>
      <x:c r="E38" s="16"/>
      <x:c r="F38" s="16"/>
      <x:c r="G38" s="16"/>
      <x:c r="H38" s="16"/>
      <x:c r="I38" s="16"/>
      <x:c r="J38" s="16"/>
    </x:row>
    <x:row r="39">
      <x:c r="A39" s="71" t="str">
        <x:v>Charge cible</x:v>
      </x:c>
      <x:c r="B39" s="16" t="str"/>
      <x:c r="C39" s="16" t="str"/>
      <x:c r="D39" s="16" t="str"/>
      <x:c r="E39" s="16"/>
      <x:c r="F39" s="16"/>
      <x:c r="G39" s="16"/>
      <x:c r="H39" s="16"/>
      <x:c r="I39" s="16"/>
      <x:c r="J39" s="16"/>
    </x:row>
    <x:row r="40">
      <x:c r="A40" s="71" t="str">
        <x:v>Reste à compléter</x:v>
      </x:c>
      <x:c r="B40" s="16" t="str"/>
      <x:c r="C40" s="16" t="str"/>
      <x:c r="D40" s="16" t="str"/>
      <x:c r="E40" s="16"/>
      <x:c r="F40" s="16"/>
      <x:c r="G40" s="16"/>
      <x:c r="H40" s="16"/>
      <x:c r="I40" s="16"/>
      <x:c r="J40" s="16"/>
    </x:row>
    <x:row r="41">
      <x:c r="A41" s="71" t="str">
        <x:v>Dépassement de charge</x:v>
      </x:c>
      <x:c r="B41" s="16" t="str"/>
      <x:c r="C41" s="16" t="str"/>
      <x:c r="D41" s="16" t="str"/>
      <x:c r="E41" s="16"/>
      <x:c r="F41" s="16"/>
      <x:c r="G41" s="16"/>
      <x:c r="H41" s="16"/>
      <x:c r="I41" s="16"/>
      <x:c r="J41" s="16"/>
    </x:row>
    <x:row r="42">
      <x:c r="A42" s="71" t="str">
        <x:v>Heures supplémentaires validées</x:v>
      </x:c>
      <x:c r="B42" s="16" t="str"/>
      <x:c r="C42" s="16" t="str"/>
      <x:c r="D42" s="16" t="str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44" t="str">
        <x:v>RÉFÉRENCES LÉGISLATIVES ET RÉGLEMENTAIRES – À CONSERVER SUR LA FICHE IMPRIMÉE</x:v>
      </x:c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>
      <x:c r="A46" s="62" t="str">
        <x:v>Décret exécutif n°08-130 du 03/05/2008 portant statut particulier de l’enseignant chercheur, modifié et complété notamment par le décret exécutif n°24-103 du 07/03/2024 (JORADP n°18 du 13/03/2024) ; arrêtés MESRS n°929, n°930 et n°931 du 28/07/2016 ; décret exécutif n°01-293 du 01/10/2001, complété ; arrêté n°220 du 29/09/2007 modifié ; décret exécutif n°16-176 du 14/06/2016 ; décret exécutif n°20-167 du 27/06/2020 ; décret exécutif n°12-293 du 21/07/2012 ; arrêté interministériel du 18/01/2024 portant création de l’Incubateur ENSF (JORADP n°39 du 08/06/2024) ; arrêté interministériel du 09/09/2024 portant création des CDE (JORADP n°70 du 17/10/2024) ; arrêtés de formation ENSF n°1454/2025, n°1455/2025 et n°1457 à n°1460/2024 ; décisions individuelles de poste supérieur et décisions internes applicables.</x:v>
      </x:c>
      <x:c r="B46" s="62"/>
      <x:c r="C46" s="62"/>
      <x:c r="D46" s="62"/>
      <x:c r="E46" s="62"/>
      <x:c r="F46" s="62"/>
      <x:c r="G46" s="62"/>
      <x:c r="H46" s="62"/>
      <x:c r="I46" s="62"/>
      <x:c r="J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65" t="str">
        <x:v>Note de sécurité juridique : le CDE et l’Incubateur sont des structures légalement créées et l’entrepreneuriat relève des missions de l’enseignant chercheur. Toutefois, aucune équivalence horaire automatique CDE/Incubateur ↔ heure de cours/TD/TP n’a été identifiée dans les textes nationaux consultés. Toute comptabilisation dans la charge doit donc être appuyée par une décision/PV interne explicite.</x:v>
      </x:c>
      <x:c r="B53" s="65"/>
      <x:c r="C53" s="65"/>
      <x:c r="D53" s="65"/>
      <x:c r="E53" s="65"/>
      <x:c r="F53" s="65"/>
      <x:c r="G53" s="65"/>
      <x:c r="H53" s="65"/>
      <x:c r="I53" s="65"/>
      <x:c r="J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72" t="str">
        <x:v>L’enseignant</x:v>
      </x:c>
      <x:c r="B58" s="72" t="str"/>
      <x:c r="C58" s="72" t="str">
        <x:v>Chef de département</x:v>
      </x:c>
      <x:c r="D58" s="72" t="str"/>
      <x:c r="E58" s="72" t="str">
        <x:v>Directeur adjoint chargé des enseignements</x:v>
      </x:c>
      <x:c r="F58" s="72" t="str"/>
      <x:c r="G58" s="72" t="str">
        <x:v>Direction</x:v>
      </x:c>
      <x:c r="H58" s="72" t="str"/>
      <x:c r="I58" s="72" t="str"/>
      <x:c r="J58" s="72" t="str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</x:sheetData>
  <x:mergeCells>
    <x:mergeCell ref="A1:J1"/>
    <x:mergeCell ref="A2:J2"/>
    <x:mergeCell ref="A33:J33"/>
    <x:mergeCell ref="A45:J45"/>
    <x:mergeCell ref="A46:J51"/>
    <x:mergeCell ref="A53:J55"/>
  </x:mergeCells>
  <x:pageMargins left="0.7" right="0.7" top="0.75" bottom="0.75" header="0.3" footer="0.3"/>
</x:worksheet>
</file>